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ea2797ffbf6ddd3/Documents/Personal Finance Projects/"/>
    </mc:Choice>
  </mc:AlternateContent>
  <xr:revisionPtr revIDLastSave="19" documentId="8_{6916327C-9ACE-4CB4-9634-C01ED5C89AF2}" xr6:coauthVersionLast="47" xr6:coauthVersionMax="47" xr10:uidLastSave="{20EA198A-D9C8-4BED-B438-FEF9CB25F133}"/>
  <bookViews>
    <workbookView xWindow="-120" yWindow="-120" windowWidth="38640" windowHeight="21240" xr2:uid="{7C01C177-3D62-4F13-B7BF-98E855C8085E}"/>
  </bookViews>
  <sheets>
    <sheet name="Macro Dashboard" sheetId="1" r:id="rId1"/>
    <sheet name="PBI Table Data" sheetId="3" r:id="rId2"/>
    <sheet name="PBI Summary" sheetId="4" r:id="rId3"/>
    <sheet name="Sources" sheetId="2" r:id="rId4"/>
  </sheets>
  <functionGroups builtInGroupCount="19"/>
  <definedNames>
    <definedName name="_xleta.IF" hidden="1" xlm="1">#NAME?</definedName>
    <definedName name="_xlpm.AVGcurrent" hidden="1" xlm="1">#NAME?</definedName>
    <definedName name="_xlpm.AVGprior" hidden="1" xlm="1">#NAME?</definedName>
    <definedName name="_xlpm.AVGtarget" hidden="1" xlm="1">#NAME?</definedName>
    <definedName name="_xlpm.Bad" hidden="1" xlm="1">#NAME?</definedName>
    <definedName name="_xlpm.condition" hidden="1" xlm="1">#NAME?</definedName>
    <definedName name="_xlpm.Good" hidden="1" xlm="1">#NAME?</definedName>
    <definedName name="_xlpm.Moment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3" i="1" l="1"/>
  <c r="E6" i="3" s="1"/>
  <c r="T6" i="1"/>
  <c r="C17" i="3" s="1"/>
  <c r="D2" i="3"/>
  <c r="J14" i="3"/>
  <c r="B2" i="4"/>
  <c r="L6" i="1"/>
  <c r="E9" i="3" s="1"/>
  <c r="D5" i="3"/>
  <c r="D4" i="3"/>
  <c r="D5" i="1"/>
  <c r="E5" i="1"/>
  <c r="G4" i="3" s="1"/>
  <c r="E4" i="1"/>
  <c r="G3" i="3" s="1"/>
  <c r="D3" i="3"/>
  <c r="D4" i="1"/>
  <c r="C19" i="3"/>
  <c r="C18" i="3"/>
  <c r="B19" i="3"/>
  <c r="B18" i="3"/>
  <c r="C15" i="3"/>
  <c r="C16" i="3"/>
  <c r="C14" i="3"/>
  <c r="B15" i="3"/>
  <c r="B16" i="3"/>
  <c r="B17" i="3"/>
  <c r="B14" i="3"/>
  <c r="D11" i="3"/>
  <c r="D12" i="3"/>
  <c r="D13" i="3"/>
  <c r="C11" i="3"/>
  <c r="C12" i="3"/>
  <c r="C13" i="3"/>
  <c r="F11" i="3"/>
  <c r="F12" i="3"/>
  <c r="F13" i="3"/>
  <c r="F10" i="3"/>
  <c r="C10" i="3"/>
  <c r="D10" i="3"/>
  <c r="B11" i="3"/>
  <c r="B12" i="3"/>
  <c r="B13" i="3"/>
  <c r="B10" i="3"/>
  <c r="L5" i="1"/>
  <c r="E8" i="3" s="1"/>
  <c r="D7" i="3"/>
  <c r="D8" i="3"/>
  <c r="D9" i="3"/>
  <c r="D6" i="3"/>
  <c r="C7" i="3"/>
  <c r="C8" i="3"/>
  <c r="C9" i="3"/>
  <c r="C6" i="3"/>
  <c r="B7" i="3"/>
  <c r="B8" i="3"/>
  <c r="B9" i="3"/>
  <c r="B6" i="3"/>
  <c r="I3" i="3"/>
  <c r="I4" i="3"/>
  <c r="I5" i="3"/>
  <c r="I2" i="3"/>
  <c r="H3" i="3"/>
  <c r="H4" i="3"/>
  <c r="C3" i="3"/>
  <c r="C4" i="3"/>
  <c r="C5" i="3"/>
  <c r="C2" i="3"/>
  <c r="B3" i="3"/>
  <c r="B4" i="3"/>
  <c r="B5" i="3"/>
  <c r="B2" i="3"/>
  <c r="N10" i="1"/>
  <c r="K11" i="3" s="1"/>
  <c r="I10" i="1"/>
  <c r="K9" i="3" s="1"/>
  <c r="Y3" i="1"/>
  <c r="J18" i="3" s="1"/>
  <c r="Y4" i="1"/>
  <c r="J19" i="3" s="1"/>
  <c r="U6" i="1"/>
  <c r="S10" i="1" s="1"/>
  <c r="K17" i="3" s="1"/>
  <c r="U5" i="1"/>
  <c r="J16" i="3" s="1"/>
  <c r="U4" i="1"/>
  <c r="J15" i="3" s="1"/>
  <c r="U3" i="1"/>
  <c r="L4" i="1"/>
  <c r="E7" i="3" s="1"/>
  <c r="D3" i="1"/>
  <c r="E2" i="3" s="1"/>
  <c r="A10" i="1"/>
  <c r="K5" i="3" s="1"/>
  <c r="F6" i="1"/>
  <c r="H5" i="3" s="1"/>
  <c r="F3" i="1"/>
  <c r="H2" i="3" s="1"/>
  <c r="E6" i="1"/>
  <c r="G5" i="3" s="1"/>
  <c r="E3" i="1"/>
  <c r="G2" i="3" s="1"/>
  <c r="E4" i="3"/>
  <c r="D6" i="1"/>
  <c r="E5" i="3" s="1"/>
  <c r="K14" i="3" l="1"/>
  <c r="K16" i="3"/>
  <c r="K15" i="3"/>
  <c r="J17" i="3"/>
  <c r="K12" i="3"/>
  <c r="K10" i="3"/>
  <c r="K13" i="3"/>
  <c r="K6" i="3"/>
  <c r="K8" i="3"/>
  <c r="K7" i="3"/>
  <c r="K2" i="3"/>
  <c r="K4" i="3"/>
  <c r="K3" i="3"/>
  <c r="E3" i="3"/>
  <c r="W10" i="1"/>
  <c r="K18" i="3" l="1"/>
  <c r="K19" i="3"/>
</calcChain>
</file>

<file path=xl/sharedStrings.xml><?xml version="1.0" encoding="utf-8"?>
<sst xmlns="http://schemas.openxmlformats.org/spreadsheetml/2006/main" count="118" uniqueCount="62">
  <si>
    <t>Economic Growth</t>
  </si>
  <si>
    <t>Current</t>
  </si>
  <si>
    <t>Prior</t>
  </si>
  <si>
    <t>Δ</t>
  </si>
  <si>
    <t>Direction</t>
  </si>
  <si>
    <t>Rate</t>
  </si>
  <si>
    <t>Trend</t>
  </si>
  <si>
    <t>Metric</t>
  </si>
  <si>
    <t>ISM Manufacturing (PMI)</t>
  </si>
  <si>
    <t>ISM Services (PMI)</t>
  </si>
  <si>
    <t>Faster</t>
  </si>
  <si>
    <t>Market Check</t>
  </si>
  <si>
    <t>Labor Market</t>
  </si>
  <si>
    <t>Nonfarm Payrolls</t>
  </si>
  <si>
    <t>Unemployment Rate</t>
  </si>
  <si>
    <t>Labor Force Participation</t>
  </si>
  <si>
    <t>Wage Growth</t>
  </si>
  <si>
    <t>Inflation</t>
  </si>
  <si>
    <t>CPI</t>
  </si>
  <si>
    <t>Core CPI</t>
  </si>
  <si>
    <t>PCE</t>
  </si>
  <si>
    <t>Core PCE</t>
  </si>
  <si>
    <t>Fed Target</t>
  </si>
  <si>
    <t>Interest Rates</t>
  </si>
  <si>
    <t>Condition</t>
  </si>
  <si>
    <t>Fed Funds Rate</t>
  </si>
  <si>
    <t>2-Year Treasury</t>
  </si>
  <si>
    <t>10-Year Treasury</t>
  </si>
  <si>
    <t>Yield Curve Spread</t>
  </si>
  <si>
    <t>Credit Condtions</t>
  </si>
  <si>
    <t>High Yield Spread (Junk)</t>
  </si>
  <si>
    <t>Investment Grade Spread</t>
  </si>
  <si>
    <t>Source</t>
  </si>
  <si>
    <t>Link</t>
  </si>
  <si>
    <t>GDP</t>
  </si>
  <si>
    <t xml:space="preserve">ISM Manufacturing </t>
  </si>
  <si>
    <t>ISM Services</t>
  </si>
  <si>
    <t>Fed Funds</t>
  </si>
  <si>
    <t>Credit Conditions</t>
  </si>
  <si>
    <t>BEA</t>
  </si>
  <si>
    <t>ISM</t>
  </si>
  <si>
    <t>Federal Reserve</t>
  </si>
  <si>
    <t>BLS</t>
  </si>
  <si>
    <t>FRED</t>
  </si>
  <si>
    <t>https://www.bea.gov/data/gdp/gross-domestic-product</t>
  </si>
  <si>
    <t>https://www.ismworld.org/supply-management-news-and-reports/reports/ism-pmi-reports/</t>
  </si>
  <si>
    <t>https://www.federalreserve.gov/releases/g17/current/default.htm?utm_source</t>
  </si>
  <si>
    <t>https://www.bls.gov/news.release/empsit.htm</t>
  </si>
  <si>
    <t>https://www.bls.gov/cpi/</t>
  </si>
  <si>
    <t>https://www.bea.gov/data/personal-consumption-expenditures-price-index</t>
  </si>
  <si>
    <t>https://www.federalreserve.gov/monetarypolicy/review-of-monetary-policy-strategy-tools-and-communications-2025.htm</t>
  </si>
  <si>
    <t>https://fred.stlouisfed.org/</t>
  </si>
  <si>
    <t>https://fred.stlouisfed.org/categories/32348</t>
  </si>
  <si>
    <t>Date Entered</t>
  </si>
  <si>
    <t>Industrial Production</t>
  </si>
  <si>
    <t>Category</t>
  </si>
  <si>
    <t>Delta</t>
  </si>
  <si>
    <t>GDP Growth-(1st QTR 26')</t>
  </si>
  <si>
    <t>Summary Type</t>
  </si>
  <si>
    <t>Summary Text</t>
  </si>
  <si>
    <t>Macro Summary</t>
  </si>
  <si>
    <t>Sort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</si>
</sst>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"/>
    <numFmt numFmtId="165" formatCode="m/d/yyyy\ h:mm\ AM/PM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101FF"/>
      <name val="Aptos Narrow"/>
      <family val="2"/>
      <scheme val="minor"/>
    </font>
    <font>
      <b/>
      <sz val="11"/>
      <color theme="1"/>
      <name val="Arial"/>
      <family val="2"/>
    </font>
    <font>
      <b/>
      <sz val="24"/>
      <color theme="1"/>
      <name val="Arial"/>
      <family val="2"/>
    </font>
    <font>
      <u/>
      <sz val="11"/>
      <color theme="10"/>
      <name val="Aptos Narrow"/>
      <family val="2"/>
      <scheme val="minor"/>
    </font>
    <font>
      <i/>
      <sz val="11"/>
      <color theme="1"/>
      <name val="Arial"/>
      <family val="2"/>
    </font>
    <font>
      <sz val="11"/>
      <color rgb="FF00823B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FF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10" fontId="2" fillId="0" borderId="0" xfId="2" applyNumberFormat="1" applyFont="1"/>
    <xf numFmtId="0" fontId="2" fillId="0" borderId="0" xfId="2" applyNumberFormat="1" applyFont="1"/>
    <xf numFmtId="10" fontId="0" fillId="0" borderId="0" xfId="0" applyNumberFormat="1"/>
    <xf numFmtId="0" fontId="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44" fontId="2" fillId="0" borderId="0" xfId="1" applyFont="1"/>
    <xf numFmtId="10" fontId="0" fillId="0" borderId="0" xfId="2" applyNumberFormat="1" applyFont="1"/>
    <xf numFmtId="3" fontId="2" fillId="0" borderId="0" xfId="0" applyNumberFormat="1" applyFont="1"/>
    <xf numFmtId="0" fontId="0" fillId="0" borderId="0" xfId="2" applyNumberFormat="1" applyFont="1"/>
    <xf numFmtId="0" fontId="3" fillId="2" borderId="6" xfId="0" applyFont="1" applyFill="1" applyBorder="1"/>
    <xf numFmtId="0" fontId="5" fillId="0" borderId="0" xfId="3"/>
    <xf numFmtId="2" fontId="0" fillId="0" borderId="0" xfId="0" applyNumberFormat="1"/>
    <xf numFmtId="0" fontId="6" fillId="0" borderId="0" xfId="0" applyFont="1" applyAlignment="1">
      <alignment vertical="top" wrapText="1"/>
    </xf>
    <xf numFmtId="165" fontId="7" fillId="0" borderId="0" xfId="0" applyNumberFormat="1" applyFont="1"/>
    <xf numFmtId="3" fontId="0" fillId="0" borderId="0" xfId="0" applyNumberFormat="1"/>
    <xf numFmtId="44" fontId="0" fillId="0" borderId="0" xfId="1" applyFont="1"/>
    <xf numFmtId="164" fontId="0" fillId="0" borderId="0" xfId="0" applyNumberFormat="1"/>
    <xf numFmtId="0" fontId="3" fillId="2" borderId="1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6" fillId="0" borderId="7" xfId="0" applyFont="1" applyBorder="1" applyAlignment="1">
      <alignment vertical="top" wrapText="1"/>
    </xf>
    <xf numFmtId="0" fontId="6" fillId="0" borderId="8" xfId="0" applyFont="1" applyBorder="1" applyAlignment="1">
      <alignment vertical="top" wrapText="1"/>
    </xf>
    <xf numFmtId="0" fontId="6" fillId="0" borderId="9" xfId="0" applyFont="1" applyBorder="1" applyAlignment="1">
      <alignment vertical="top" wrapText="1"/>
    </xf>
    <xf numFmtId="0" fontId="6" fillId="0" borderId="10" xfId="0" applyFont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6" fillId="0" borderId="6" xfId="0" applyFont="1" applyBorder="1" applyAlignment="1">
      <alignment vertical="top" wrapText="1"/>
    </xf>
    <xf numFmtId="0" fontId="6" fillId="0" borderId="13" xfId="0" applyFont="1" applyBorder="1" applyAlignment="1">
      <alignment vertical="top" wrapText="1"/>
    </xf>
    <xf numFmtId="0" fontId="9" fillId="0" borderId="0" xfId="0" applyFont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21">
    <dxf>
      <fill>
        <gradientFill type="path" left="0.5" right="0.5" top="0.5" bottom="0.5">
          <stop position="0">
            <color theme="0"/>
          </stop>
          <stop position="1">
            <color rgb="FFFF5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99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99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CC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5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99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99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9FF99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CC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5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99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9FF99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5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99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FF66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CC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2" tint="-9.8025452436902985E-2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5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99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CC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</dxfs>
  <tableStyles count="0" defaultTableStyle="TableStyleMedium2" defaultPivotStyle="PivotStyleLight16"/>
  <colors>
    <mruColors>
      <color rgb="FF0000FF"/>
      <color rgb="FF00823B"/>
      <color rgb="FFFF5050"/>
      <color rgb="FFFF9933"/>
      <color rgb="FFFFFF99"/>
      <color rgb="FF00CC00"/>
      <color rgb="FF99FF99"/>
      <color rgb="FF66FF66"/>
      <color rgb="FF33CC33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11</xdr:row>
          <xdr:rowOff>142875</xdr:rowOff>
        </xdr:from>
        <xdr:to>
          <xdr:col>1</xdr:col>
          <xdr:colOff>600075</xdr:colOff>
          <xdr:row>14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67A9F9-82D1-4529-AF7E-805E96CEE88B}" name="PBI_Metrics" displayName="PBI_Metrics" ref="A1:L19" totalsRowShown="0">
  <autoFilter ref="A1:L19" xr:uid="{5167A9F9-82D1-4529-AF7E-805E96CEE88B}"/>
  <tableColumns count="12">
    <tableColumn id="1" xr3:uid="{9834F34B-4425-4B5D-BBE6-42A85EAE2297}" name="Category"/>
    <tableColumn id="2" xr3:uid="{182FA462-45C9-45AA-B1F8-96F0F4876644}" name="Metric"/>
    <tableColumn id="3" xr3:uid="{65261001-C21F-4021-AAF9-13DF5F0E0905}" name="Current" dataDxfId="20" dataCellStyle="Percent"/>
    <tableColumn id="4" xr3:uid="{2B42B841-E1FF-48C2-96E4-42D228DF1761}" name="Prior"/>
    <tableColumn id="5" xr3:uid="{B7EA8996-2BE0-4DD4-AFE1-EC54EB86AEED}" name="Delta"/>
    <tableColumn id="6" xr3:uid="{BD8237E3-105F-4C7F-B85C-4A7842F4CC6E}" name="Fed Target"/>
    <tableColumn id="7" xr3:uid="{E7E3CD4F-96F9-4092-B99F-278FB6257291}" name="Direction"/>
    <tableColumn id="8" xr3:uid="{8B646C1B-EC1A-4375-9659-E4899EFA3EF3}" name="Rate"/>
    <tableColumn id="9" xr3:uid="{AC01088E-CD46-4999-B5B7-14E5EB223CD1}" name="Trend"/>
    <tableColumn id="10" xr3:uid="{DC9073E6-0146-4C58-9CD9-9A6A273D164B}" name="Condition"/>
    <tableColumn id="11" xr3:uid="{D23B0376-D089-4F12-A7EF-926418E4856E}" name="Market Check"/>
    <tableColumn id="12" xr3:uid="{B28AF0E0-ACBD-4DD6-B43A-493D329F385F}" name="Sort Or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F2FE1B-FF57-4837-95EB-8A8C698D531E}" name="PBI_Summary" displayName="PBI_Summary" ref="A1:B2" totalsRowShown="0">
  <autoFilter ref="A1:B2" xr:uid="{2CF2FE1B-FF57-4837-95EB-8A8C698D531E}"/>
  <tableColumns count="2">
    <tableColumn id="1" xr3:uid="{9A42105E-0FB4-4C87-A2FC-934201A9B74F}" name="Summary Type"/>
    <tableColumn id="2" xr3:uid="{AF845501-A171-4370-A60D-DF19561DB6E4}" name="Summary Text">
      <calculatedColumnFormula>'Macro Dashboard'!$D$13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1E8B614-21E8-49C9-8F6A-F45F829E1615}">
  <we:reference id="wa200003692" version="1.0.0.2" store="en-US" storeType="OMEX"/>
  <we:alternateReferences>
    <we:reference id="wa200003692" version="1.0.0.2" store="WA20000369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ederalreserve.gov/monetarypolicy/review-of-monetary-policy-strategy-tools-and-communications-2025.htm" TargetMode="External"/><Relationship Id="rId3" Type="http://schemas.openxmlformats.org/officeDocument/2006/relationships/hyperlink" Target="https://www.ismworld.org/supply-management-news-and-reports/reports/ism-pmi-reports/" TargetMode="External"/><Relationship Id="rId7" Type="http://schemas.openxmlformats.org/officeDocument/2006/relationships/hyperlink" Target="https://www.bea.gov/data/personal-consumption-expenditures-price-index" TargetMode="External"/><Relationship Id="rId2" Type="http://schemas.openxmlformats.org/officeDocument/2006/relationships/hyperlink" Target="https://www.ismworld.org/supply-management-news-and-reports/reports/ism-pmi-reports/" TargetMode="External"/><Relationship Id="rId1" Type="http://schemas.openxmlformats.org/officeDocument/2006/relationships/hyperlink" Target="https://www.bea.gov/data/gdp/gross-domestic-product" TargetMode="External"/><Relationship Id="rId6" Type="http://schemas.openxmlformats.org/officeDocument/2006/relationships/hyperlink" Target="https://www.bls.gov/cpi/" TargetMode="External"/><Relationship Id="rId5" Type="http://schemas.openxmlformats.org/officeDocument/2006/relationships/hyperlink" Target="https://www.bls.gov/news.release/empsit.htm" TargetMode="External"/><Relationship Id="rId10" Type="http://schemas.openxmlformats.org/officeDocument/2006/relationships/hyperlink" Target="https://fred.stlouisfed.org/categories/32348" TargetMode="External"/><Relationship Id="rId4" Type="http://schemas.openxmlformats.org/officeDocument/2006/relationships/hyperlink" Target="https://www.federalreserve.gov/releases/g17/current/default.htm?utm_source" TargetMode="External"/><Relationship Id="rId9" Type="http://schemas.openxmlformats.org/officeDocument/2006/relationships/hyperlink" Target="https://fred.stlouisfed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2F86-8281-4CE1-AF52-38866D00CBF1}">
  <sheetPr codeName="Sheet1"/>
  <dimension ref="A1:Y46"/>
  <sheetViews>
    <sheetView tabSelected="1" workbookViewId="0">
      <selection sqref="A1:G1"/>
    </sheetView>
  </sheetViews>
  <sheetFormatPr defaultRowHeight="15" x14ac:dyDescent="0.25"/>
  <cols>
    <col min="1" max="1" width="26.42578125" customWidth="1"/>
    <col min="5" max="5" width="14.85546875" customWidth="1"/>
    <col min="6" max="6" width="13.140625" customWidth="1"/>
    <col min="9" max="9" width="24.140625" customWidth="1"/>
    <col min="12" max="12" width="13.140625" customWidth="1"/>
    <col min="17" max="17" width="25.140625" customWidth="1"/>
    <col min="19" max="19" width="17.7109375" customWidth="1"/>
    <col min="21" max="21" width="26.7109375" customWidth="1"/>
    <col min="23" max="23" width="23.7109375" customWidth="1"/>
    <col min="25" max="25" width="13.140625" customWidth="1"/>
  </cols>
  <sheetData>
    <row r="1" spans="1:25" x14ac:dyDescent="0.25">
      <c r="A1" s="18" t="s">
        <v>0</v>
      </c>
      <c r="B1" s="18"/>
      <c r="C1" s="18"/>
      <c r="D1" s="18"/>
      <c r="E1" s="18"/>
      <c r="F1" s="18"/>
      <c r="G1" s="18"/>
      <c r="I1" s="18" t="s">
        <v>12</v>
      </c>
      <c r="J1" s="18"/>
      <c r="K1" s="18"/>
      <c r="L1" s="18"/>
      <c r="N1" s="18" t="s">
        <v>17</v>
      </c>
      <c r="O1" s="18"/>
      <c r="P1" s="18"/>
      <c r="Q1" s="18"/>
      <c r="S1" s="18" t="s">
        <v>23</v>
      </c>
      <c r="T1" s="18"/>
      <c r="U1" s="18"/>
      <c r="W1" s="18" t="s">
        <v>29</v>
      </c>
      <c r="X1" s="18"/>
      <c r="Y1" s="18"/>
    </row>
    <row r="2" spans="1:25" ht="15.75" thickBot="1" x14ac:dyDescent="0.3">
      <c r="A2" s="4" t="s">
        <v>7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I2" s="4" t="s">
        <v>7</v>
      </c>
      <c r="J2" s="4" t="s">
        <v>1</v>
      </c>
      <c r="K2" s="4" t="s">
        <v>2</v>
      </c>
      <c r="L2" s="4" t="s">
        <v>3</v>
      </c>
      <c r="N2" s="4" t="s">
        <v>7</v>
      </c>
      <c r="O2" s="4" t="s">
        <v>1</v>
      </c>
      <c r="P2" s="4" t="s">
        <v>2</v>
      </c>
      <c r="Q2" s="4" t="s">
        <v>22</v>
      </c>
      <c r="S2" s="4" t="s">
        <v>7</v>
      </c>
      <c r="T2" s="4" t="s">
        <v>1</v>
      </c>
      <c r="U2" s="4" t="s">
        <v>24</v>
      </c>
      <c r="W2" s="4" t="s">
        <v>7</v>
      </c>
      <c r="X2" s="4" t="s">
        <v>1</v>
      </c>
      <c r="Y2" s="4" t="s">
        <v>24</v>
      </c>
    </row>
    <row r="3" spans="1:25" x14ac:dyDescent="0.25">
      <c r="A3" t="s">
        <v>57</v>
      </c>
      <c r="B3" s="1"/>
      <c r="C3" s="1"/>
      <c r="D3" s="3">
        <f>B3-C3</f>
        <v>0</v>
      </c>
      <c r="E3" t="str">
        <f>IF(B3&gt;0,"Growing",IF($B$3&lt;0,"Contracting","Flat"))</f>
        <v>Flat</v>
      </c>
      <c r="F3" t="str">
        <f>IF(AND($B$3&gt;0,$C$3&lt;0),"Recovery",IF(AND($B$3&lt;0,$C$3&gt;0),"Contraction",IF($B$3&gt;$C$3,"Accelerating",IF($B$3&lt;$C$3,"Decelerating","Stable"))))</f>
        <v>Stable</v>
      </c>
      <c r="G3" s="32"/>
      <c r="I3" t="s">
        <v>13</v>
      </c>
      <c r="J3" s="8"/>
      <c r="K3" s="8"/>
      <c r="L3" s="7" t="e">
        <f>($J$3-$K$3)/$K$3</f>
        <v>#DIV/0!</v>
      </c>
      <c r="N3" t="s">
        <v>18</v>
      </c>
      <c r="O3" s="1"/>
      <c r="P3" s="1"/>
      <c r="Q3" s="1">
        <v>0.02</v>
      </c>
      <c r="S3" t="s">
        <v>25</v>
      </c>
      <c r="T3" s="1"/>
      <c r="U3" s="5" t="str">
        <f>IF($T$3&lt;0.01,"Accommodative",IF($T$3&lt;0.033,"Neutral","Restrictive"))</f>
        <v>Accommodative</v>
      </c>
      <c r="W3" t="s">
        <v>30</v>
      </c>
      <c r="X3" s="1"/>
      <c r="Y3" t="str">
        <f>IF($X$3&lt;0.03,"Loose",IF($X$3&lt;0.05,"Normal",IF($X$3&lt;0.08,"Tight","Stress")))</f>
        <v>Loose</v>
      </c>
    </row>
    <row r="4" spans="1:25" x14ac:dyDescent="0.25">
      <c r="A4" t="s">
        <v>8</v>
      </c>
      <c r="B4" s="1"/>
      <c r="C4" s="1"/>
      <c r="D4" s="7">
        <f>B4-C4</f>
        <v>0</v>
      </c>
      <c r="E4" t="str">
        <f>IF($B$4&gt;=50%,"Growing","Contracting")</f>
        <v>Contracting</v>
      </c>
      <c r="F4" t="s">
        <v>10</v>
      </c>
      <c r="G4" s="32"/>
      <c r="I4" t="s">
        <v>14</v>
      </c>
      <c r="J4" s="1"/>
      <c r="K4" s="1"/>
      <c r="L4" s="9" t="e">
        <f>($J$4-$K$4)/$K$4</f>
        <v>#DIV/0!</v>
      </c>
      <c r="N4" t="s">
        <v>19</v>
      </c>
      <c r="O4" s="1"/>
      <c r="P4" s="1"/>
      <c r="Q4" s="1">
        <v>0.02</v>
      </c>
      <c r="S4" t="s">
        <v>26</v>
      </c>
      <c r="T4" s="1"/>
      <c r="U4" s="5" t="str">
        <f>IF($T$4&lt;0.02,"Low",IF($T$4&lt;=0.04,"Moderate","Elevated"))</f>
        <v>Low</v>
      </c>
      <c r="W4" t="s">
        <v>31</v>
      </c>
      <c r="X4" s="1"/>
      <c r="Y4" t="str">
        <f>IF($X$4&lt;0.01,"Loose",IF($X$4&lt;0.02,"Normal","Tight"))</f>
        <v>Loose</v>
      </c>
    </row>
    <row r="5" spans="1:25" x14ac:dyDescent="0.25">
      <c r="A5" t="s">
        <v>9</v>
      </c>
      <c r="B5" s="1"/>
      <c r="C5" s="1"/>
      <c r="D5" s="7">
        <f>B5-C5</f>
        <v>0</v>
      </c>
      <c r="E5" t="str">
        <f>IF($B$5&gt;=50%,"Growing","Contracting")</f>
        <v>Contracting</v>
      </c>
      <c r="F5" t="s">
        <v>10</v>
      </c>
      <c r="G5" s="32"/>
      <c r="I5" t="s">
        <v>15</v>
      </c>
      <c r="J5" s="1"/>
      <c r="K5" s="1"/>
      <c r="L5" s="7" t="e">
        <f>($J$5-$K$5)/$K$5</f>
        <v>#DIV/0!</v>
      </c>
      <c r="N5" t="s">
        <v>20</v>
      </c>
      <c r="O5" s="1"/>
      <c r="P5" s="1"/>
      <c r="Q5" s="1">
        <v>0.02</v>
      </c>
      <c r="S5" t="s">
        <v>27</v>
      </c>
      <c r="T5" s="1"/>
      <c r="U5" s="5" t="str">
        <f>IF($T$5&lt;0.03,"Low",IF($T$5&lt;=0.04,"Moderate","Elevated"))</f>
        <v>Low</v>
      </c>
    </row>
    <row r="6" spans="1:25" x14ac:dyDescent="0.25">
      <c r="A6" t="s">
        <v>54</v>
      </c>
      <c r="B6" s="2"/>
      <c r="C6" s="2"/>
      <c r="D6" s="12">
        <f t="shared" ref="D6" si="0">B6-C6</f>
        <v>0</v>
      </c>
      <c r="E6" t="str">
        <f>IF($B$6&gt;=100,"Growing","Contracting")</f>
        <v>Contracting</v>
      </c>
      <c r="F6" t="str">
        <f>IF($B$6&gt;=100,IF($B$6&gt;$C$6,"Accelerating",IF($B$6&lt;$C$6,"Decelerating","Stable")),IF($B$6&gt;$C$6,"Recovering",IF($B$6&lt;$C$6,"Decelerating","Stable")))</f>
        <v>Stable</v>
      </c>
      <c r="G6" s="32"/>
      <c r="I6" t="s">
        <v>16</v>
      </c>
      <c r="J6" s="6"/>
      <c r="K6" s="6"/>
      <c r="L6" s="16">
        <f>($J$6-$K$6)</f>
        <v>0</v>
      </c>
      <c r="N6" t="s">
        <v>21</v>
      </c>
      <c r="O6" s="1"/>
      <c r="P6" s="1"/>
      <c r="Q6" s="1">
        <v>0.02</v>
      </c>
      <c r="S6" t="s">
        <v>28</v>
      </c>
      <c r="T6" s="3">
        <f>$T$5-$T$4</f>
        <v>0</v>
      </c>
      <c r="U6" s="5" t="str">
        <f>IF($T$6&lt;-0.005,"Inverted",IF($T$6&lt;0,"Flat",IF($T$6&lt;0.01,"Normal","Steep")))</f>
        <v>Normal</v>
      </c>
    </row>
    <row r="7" spans="1:25" ht="15.75" thickBot="1" x14ac:dyDescent="0.3"/>
    <row r="8" spans="1:25" ht="30.75" thickBot="1" x14ac:dyDescent="0.45">
      <c r="A8" s="19" t="s">
        <v>11</v>
      </c>
      <c r="B8" s="19"/>
      <c r="C8" s="19"/>
      <c r="D8" s="19"/>
      <c r="E8" s="19"/>
      <c r="F8" s="19"/>
      <c r="G8" s="19"/>
      <c r="I8" s="19" t="s">
        <v>11</v>
      </c>
      <c r="J8" s="19"/>
      <c r="K8" s="19"/>
      <c r="L8" s="19"/>
      <c r="N8" s="19" t="s">
        <v>11</v>
      </c>
      <c r="O8" s="19"/>
      <c r="P8" s="19"/>
      <c r="Q8" s="19"/>
      <c r="S8" s="19" t="s">
        <v>11</v>
      </c>
      <c r="T8" s="19"/>
      <c r="U8" s="19"/>
      <c r="W8" s="19" t="s">
        <v>11</v>
      </c>
      <c r="X8" s="19"/>
      <c r="Y8" s="19"/>
    </row>
    <row r="9" spans="1:25" ht="15.75" thickBot="1" x14ac:dyDescent="0.3"/>
    <row r="10" spans="1:25" ht="30.75" thickBot="1" x14ac:dyDescent="0.45">
      <c r="A10" s="20" t="str">
        <f>IF(COUNTIF($E$3:$E$6,"Contracting")&gt;=2,"Recession Risk",IF(COUNTIF($F$3:$F$6,"Slower")&gt;=3,"Slowing",IF(COUNTIF($E$3:$E$6,"Growing")&gt;=3,"Expansion","Mixed")))</f>
        <v>Recession Risk</v>
      </c>
      <c r="B10" s="21"/>
      <c r="C10" s="21"/>
      <c r="D10" s="21"/>
      <c r="E10" s="21"/>
      <c r="F10" s="21"/>
      <c r="G10" s="22"/>
      <c r="I10" s="20" t="str">
        <f>_xlfn.LET(_xlpm.condition,IF(OR($J$3&lt;0,$J$4&gt;0.06),"Recessionary ",IF(AND($J$3&gt;150000,$J$4&lt;0.04),"Strong",IF(AND($J$3&gt;50000,$J$4&lt;0.05),"Healthy ","Weak"))),_xlpm.Good,COUNTIF($L$3,"&gt;0")+COUNTIF($L$4,"&lt;0")+COUNTIF($L$5,"&gt;0")+COUNTIF($L$6,"&gt;0"),_xlpm.Bad,COUNTIF($L$3,"&lt;0")+COUNTIF($L$4,"&gt;0")+COUNTIF($L$5,"&lt;0")+COUNTIF($L$6,"&lt;0"),_xlpm.Momentum,IF(_xlpm.Good&gt;_xlpm.Bad,"Improving",IF(_xlpm.Bad&gt;_xlpm.Good,"Slowing","Mixed")),_xlpm.condition&amp;IF(_xlpm.Momentum="Improving","and Improving",IF(_xlpm.Momentum="Slowing","but Slowing","and Mixed")))</f>
        <v>Weakand Mixed</v>
      </c>
      <c r="J10" s="21"/>
      <c r="K10" s="21"/>
      <c r="L10" s="22"/>
      <c r="N10" s="20" t="e">
        <f>_xlfn.LET(_xlpm.AVGcurrent,AVERAGE($O$3:$O$6),_xlpm.AVGprior,AVERAGE($P$3:$P$6),_xlpm.AVGtarget,AVERAGE($Q$3:$Q$6),_xlpm.condition,IF(_xlpm.AVGcurrent&lt;=_xlpm.AVGtarget,"At Target",IF(_xlpm.AVGcurrent&lt;=_xlpm.AVGtarget+0.01,"Elevated","High")),_xlpm.momentum,IF(_xlpm.AVGcurrent&lt;_xlpm.AVGprior,"Cooling",IF(_xlpm.AVGcurrent&gt;_xlpm.AVGprior,"Rising","Stable")),_xlpm.condition&amp;" and "&amp;_xlpm.momentum)</f>
        <v>#DIV/0!</v>
      </c>
      <c r="O10" s="21"/>
      <c r="P10" s="21"/>
      <c r="Q10" s="22"/>
      <c r="S10" s="20" t="str">
        <f>_xlfn.LET(_xlpm.condition,IF($U$6="Inverted","Recessionary",IF($U$6="Flat","Cautious",IF($U$3="Restrictive","Restrictive",IF($U$3="Neutral","Balanced","Supportive")))),_xlpm.momentum,IF(AND($U$4="Elevated",$U$5="Elevated"),"Tightening",IF(AND($U$4="Moderate",$U$5="Elevated"),"Stable","Easing")),_xlpm.condition&amp;IF(_xlpm.momentum="Stable"," and Stable",IF(_xlpm.momentum="Easing"," and Easing"," and Tigtening")))</f>
        <v>Supportive and Easing</v>
      </c>
      <c r="T10" s="21"/>
      <c r="U10" s="22"/>
      <c r="W10" s="20" t="str">
        <f>IF(AND($Y$3="Loose",$Y$4="Loose"),"Loose and Stable",IF(OR($Y$3="Stress",$Y$4="Stress"),"Stress and Worsening",IF(OR($Y$3="Tight",$Y$4="Tight"),"Tight and Stable","Normal and Stable")))</f>
        <v>Loose and Stable</v>
      </c>
      <c r="X10" s="21"/>
      <c r="Y10" s="22"/>
    </row>
    <row r="12" spans="1:25" ht="15.75" thickBot="1" x14ac:dyDescent="0.3"/>
    <row r="13" spans="1:25" ht="15" customHeight="1" x14ac:dyDescent="0.25">
      <c r="D13" s="23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5"/>
      <c r="P13" s="13"/>
      <c r="Q13" s="13"/>
    </row>
    <row r="14" spans="1:25" x14ac:dyDescent="0.25">
      <c r="D14" s="26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/>
      <c r="P14" s="13"/>
      <c r="Q14" s="13"/>
    </row>
    <row r="15" spans="1:25" x14ac:dyDescent="0.25">
      <c r="D15" s="2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/>
      <c r="P15" s="13"/>
      <c r="Q15" s="13"/>
    </row>
    <row r="16" spans="1:25" x14ac:dyDescent="0.25">
      <c r="D16" s="26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P16" s="13"/>
      <c r="Q16" s="13"/>
    </row>
    <row r="17" spans="4:17" x14ac:dyDescent="0.25">
      <c r="D17" s="2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/>
      <c r="P17" s="13"/>
      <c r="Q17" s="13"/>
    </row>
    <row r="18" spans="4:17" x14ac:dyDescent="0.25">
      <c r="D18" s="26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/>
      <c r="P18" s="13"/>
      <c r="Q18" s="13"/>
    </row>
    <row r="19" spans="4:17" x14ac:dyDescent="0.25">
      <c r="D19" s="2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/>
      <c r="P19" s="13"/>
      <c r="Q19" s="13"/>
    </row>
    <row r="20" spans="4:17" x14ac:dyDescent="0.25">
      <c r="D20" s="26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/>
      <c r="P20" s="13"/>
      <c r="Q20" s="13"/>
    </row>
    <row r="21" spans="4:17" x14ac:dyDescent="0.25">
      <c r="D21" s="2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/>
      <c r="P21" s="13"/>
      <c r="Q21" s="13"/>
    </row>
    <row r="22" spans="4:17" x14ac:dyDescent="0.25">
      <c r="D22" s="26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/>
      <c r="P22" s="13"/>
      <c r="Q22" s="13"/>
    </row>
    <row r="23" spans="4:17" x14ac:dyDescent="0.25">
      <c r="D23" s="2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/>
      <c r="P23" s="13"/>
      <c r="Q23" s="13"/>
    </row>
    <row r="24" spans="4:17" x14ac:dyDescent="0.25">
      <c r="D24" s="26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/>
      <c r="P24" s="13"/>
      <c r="Q24" s="13"/>
    </row>
    <row r="25" spans="4:17" x14ac:dyDescent="0.25">
      <c r="D25" s="2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/>
      <c r="P25" s="13"/>
      <c r="Q25" s="13"/>
    </row>
    <row r="26" spans="4:17" x14ac:dyDescent="0.25">
      <c r="D26" s="26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/>
      <c r="P26" s="13"/>
      <c r="Q26" s="13"/>
    </row>
    <row r="27" spans="4:17" x14ac:dyDescent="0.25">
      <c r="D27" s="2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/>
      <c r="P27" s="13"/>
      <c r="Q27" s="13"/>
    </row>
    <row r="28" spans="4:17" x14ac:dyDescent="0.25">
      <c r="D28" s="26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/>
      <c r="P28" s="13"/>
      <c r="Q28" s="13"/>
    </row>
    <row r="29" spans="4:17" ht="15.75" thickBot="1" x14ac:dyDescent="0.3">
      <c r="D29" s="29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1"/>
      <c r="P29" s="13"/>
      <c r="Q29" s="13"/>
    </row>
    <row r="30" spans="4:17" x14ac:dyDescent="0.25"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4:17" x14ac:dyDescent="0.25"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4:17" x14ac:dyDescent="0.25"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4:17" x14ac:dyDescent="0.25"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4:17" x14ac:dyDescent="0.25"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4:17" x14ac:dyDescent="0.25"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4:17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4:17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4:17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4:17" x14ac:dyDescent="0.25"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4:17" x14ac:dyDescent="0.25"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4:17" x14ac:dyDescent="0.25"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4:17" x14ac:dyDescent="0.25"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4:17" x14ac:dyDescent="0.25"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4:17" x14ac:dyDescent="0.25"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4:17" x14ac:dyDescent="0.25"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4:17" x14ac:dyDescent="0.25"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</sheetData>
  <mergeCells count="16">
    <mergeCell ref="W1:Y1"/>
    <mergeCell ref="W8:Y8"/>
    <mergeCell ref="W10:Y10"/>
    <mergeCell ref="D13:O29"/>
    <mergeCell ref="N1:Q1"/>
    <mergeCell ref="N8:Q8"/>
    <mergeCell ref="N10:Q10"/>
    <mergeCell ref="S1:U1"/>
    <mergeCell ref="S8:U8"/>
    <mergeCell ref="S10:U10"/>
    <mergeCell ref="A1:G1"/>
    <mergeCell ref="A8:G8"/>
    <mergeCell ref="A10:G10"/>
    <mergeCell ref="I1:L1"/>
    <mergeCell ref="I8:L8"/>
    <mergeCell ref="I10:L10"/>
  </mergeCells>
  <conditionalFormatting sqref="A10:G10">
    <cfRule type="containsText" dxfId="19" priority="17" operator="containsText" text="Expansion">
      <formula>NOT(ISERROR(SEARCH("Expansion",A10)))</formula>
    </cfRule>
    <cfRule type="containsText" dxfId="18" priority="18" operator="containsText" text="Slowing">
      <formula>NOT(ISERROR(SEARCH("Slowing",A10)))</formula>
    </cfRule>
    <cfRule type="containsText" dxfId="17" priority="19" operator="containsText" text="Recession Risk">
      <formula>NOT(ISERROR(SEARCH("Recession Risk",A10)))</formula>
    </cfRule>
    <cfRule type="containsText" dxfId="16" priority="20" operator="containsText" text="Mixed">
      <formula>NOT(ISERROR(SEARCH("Mixed",A10)))</formula>
    </cfRule>
  </conditionalFormatting>
  <conditionalFormatting sqref="I10:L10">
    <cfRule type="containsText" dxfId="15" priority="13" operator="containsText" text="Strong">
      <formula>NOT(ISERROR(SEARCH("Strong",I10)))</formula>
    </cfRule>
    <cfRule type="containsText" dxfId="14" priority="14" operator="containsText" text="Healthy">
      <formula>NOT(ISERROR(SEARCH("Healthy",I10)))</formula>
    </cfRule>
    <cfRule type="containsText" dxfId="13" priority="15" operator="containsText" text="Weak">
      <formula>NOT(ISERROR(SEARCH("Weak",I10)))</formula>
    </cfRule>
    <cfRule type="containsText" dxfId="12" priority="16" operator="containsText" text="Recessionary">
      <formula>NOT(ISERROR(SEARCH("Recessionary",I10)))</formula>
    </cfRule>
  </conditionalFormatting>
  <conditionalFormatting sqref="N10:Q10">
    <cfRule type="containsText" dxfId="11" priority="10" operator="containsText" text="At Target">
      <formula>NOT(ISERROR(SEARCH("At Target",N10)))</formula>
    </cfRule>
    <cfRule type="containsText" dxfId="10" priority="11" operator="containsText" text="Elevated">
      <formula>NOT(ISERROR(SEARCH("Elevated",N10)))</formula>
    </cfRule>
    <cfRule type="containsText" dxfId="9" priority="12" operator="containsText" text="High">
      <formula>NOT(ISERROR(SEARCH("High",N10)))</formula>
    </cfRule>
  </conditionalFormatting>
  <conditionalFormatting sqref="S10:U10">
    <cfRule type="containsText" dxfId="8" priority="5" operator="containsText" text="Supportive">
      <formula>NOT(ISERROR(SEARCH("Supportive",S10)))</formula>
    </cfRule>
    <cfRule type="containsText" dxfId="7" priority="6" operator="containsText" text="Balanced">
      <formula>NOT(ISERROR(SEARCH("Balanced",S10)))</formula>
    </cfRule>
    <cfRule type="containsText" dxfId="6" priority="7" operator="containsText" text="Restrictive">
      <formula>NOT(ISERROR(SEARCH("Restrictive",S10)))</formula>
    </cfRule>
    <cfRule type="containsText" dxfId="5" priority="8" operator="containsText" text="Cautious">
      <formula>NOT(ISERROR(SEARCH("Cautious",S10)))</formula>
    </cfRule>
    <cfRule type="containsText" dxfId="4" priority="9" operator="containsText" text="Recessionary">
      <formula>NOT(ISERROR(SEARCH("Recessionary",S10)))</formula>
    </cfRule>
  </conditionalFormatting>
  <conditionalFormatting sqref="W10:Y10">
    <cfRule type="containsText" dxfId="3" priority="1" operator="containsText" text="Loose">
      <formula>NOT(ISERROR(SEARCH("Loose",W10)))</formula>
    </cfRule>
    <cfRule type="containsText" dxfId="2" priority="2" operator="containsText" text="Normal">
      <formula>NOT(ISERROR(SEARCH("Normal",W10)))</formula>
    </cfRule>
    <cfRule type="containsText" dxfId="1" priority="3" operator="containsText" text="Tight">
      <formula>NOT(ISERROR(SEARCH("Tight",W10)))</formula>
    </cfRule>
    <cfRule type="containsText" dxfId="0" priority="4" operator="containsText" text="Stress">
      <formula>NOT(ISERROR(SEARCH("Stress",W10)))</formula>
    </cfRule>
  </conditionalFormatting>
  <dataValidations count="1">
    <dataValidation type="list" allowBlank="1" showInputMessage="1" showErrorMessage="1" sqref="F4:F5" xr:uid="{9549CE23-0A74-4FD8-B927-4A3C37D886DA}">
      <formula1>"Faster,Slower,Same,From Contracting,From Growing"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GenerateMacroSummary">
                <anchor moveWithCells="1" sizeWithCells="1">
                  <from>
                    <xdr:col>0</xdr:col>
                    <xdr:colOff>1219200</xdr:colOff>
                    <xdr:row>11</xdr:row>
                    <xdr:rowOff>142875</xdr:rowOff>
                  </from>
                  <to>
                    <xdr:col>1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6A15-7676-4DB6-99D4-AF5308727322}">
  <sheetPr codeName="Sheet3"/>
  <dimension ref="A1:L19"/>
  <sheetViews>
    <sheetView workbookViewId="0">
      <selection activeCell="D15" sqref="D15"/>
    </sheetView>
  </sheetViews>
  <sheetFormatPr defaultRowHeight="15" x14ac:dyDescent="0.25"/>
  <cols>
    <col min="1" max="1" width="17.85546875" customWidth="1"/>
    <col min="2" max="2" width="24.140625" customWidth="1"/>
    <col min="3" max="3" width="12.42578125" customWidth="1"/>
    <col min="4" max="4" width="11.28515625" customWidth="1"/>
    <col min="6" max="6" width="15.42578125" customWidth="1"/>
    <col min="7" max="7" width="11.5703125" customWidth="1"/>
    <col min="8" max="8" width="13" customWidth="1"/>
    <col min="9" max="9" width="11.5703125" customWidth="1"/>
    <col min="10" max="10" width="12.140625" customWidth="1"/>
    <col min="11" max="11" width="21.28515625" customWidth="1"/>
    <col min="12" max="12" width="16.28515625" customWidth="1"/>
  </cols>
  <sheetData>
    <row r="1" spans="1:12" x14ac:dyDescent="0.25">
      <c r="A1" t="s">
        <v>55</v>
      </c>
      <c r="B1" t="s">
        <v>7</v>
      </c>
      <c r="C1" t="s">
        <v>1</v>
      </c>
      <c r="D1" t="s">
        <v>2</v>
      </c>
      <c r="E1" t="s">
        <v>56</v>
      </c>
      <c r="F1" t="s">
        <v>22</v>
      </c>
      <c r="G1" t="s">
        <v>4</v>
      </c>
      <c r="H1" t="s">
        <v>5</v>
      </c>
      <c r="I1" t="s">
        <v>6</v>
      </c>
      <c r="J1" t="s">
        <v>24</v>
      </c>
      <c r="K1" t="s">
        <v>11</v>
      </c>
      <c r="L1" t="s">
        <v>61</v>
      </c>
    </row>
    <row r="2" spans="1:12" x14ac:dyDescent="0.25">
      <c r="A2" t="s">
        <v>0</v>
      </c>
      <c r="B2" t="str">
        <f>'Macro Dashboard'!A3</f>
        <v>GDP Growth-(1st QTR 26')</v>
      </c>
      <c r="C2" s="3">
        <f>'Macro Dashboard'!B3</f>
        <v>0</v>
      </c>
      <c r="D2" s="3">
        <f>'Macro Dashboard'!C3</f>
        <v>0</v>
      </c>
      <c r="E2" s="3">
        <f>'Macro Dashboard'!D3</f>
        <v>0</v>
      </c>
      <c r="F2" s="3"/>
      <c r="G2" t="str">
        <f>'Macro Dashboard'!E3</f>
        <v>Flat</v>
      </c>
      <c r="H2" t="str">
        <f>'Macro Dashboard'!F3</f>
        <v>Stable</v>
      </c>
      <c r="I2">
        <f>'Macro Dashboard'!G3</f>
        <v>0</v>
      </c>
      <c r="K2" t="str">
        <f>'Macro Dashboard'!$A$10</f>
        <v>Recession Risk</v>
      </c>
      <c r="L2">
        <v>1</v>
      </c>
    </row>
    <row r="3" spans="1:12" x14ac:dyDescent="0.25">
      <c r="A3" t="s">
        <v>0</v>
      </c>
      <c r="B3" t="str">
        <f>'Macro Dashboard'!A4</f>
        <v>ISM Manufacturing (PMI)</v>
      </c>
      <c r="C3" s="7">
        <f>'Macro Dashboard'!B4</f>
        <v>0</v>
      </c>
      <c r="D3" s="7">
        <f>'Macro Dashboard'!C4</f>
        <v>0</v>
      </c>
      <c r="E3" s="7">
        <f>'Macro Dashboard'!D4</f>
        <v>0</v>
      </c>
      <c r="G3" t="str">
        <f>'Macro Dashboard'!E4</f>
        <v>Contracting</v>
      </c>
      <c r="H3" t="str">
        <f>'Macro Dashboard'!F4</f>
        <v>Faster</v>
      </c>
      <c r="I3">
        <f>'Macro Dashboard'!G4</f>
        <v>0</v>
      </c>
      <c r="K3" t="str">
        <f>'Macro Dashboard'!$A$10</f>
        <v>Recession Risk</v>
      </c>
      <c r="L3">
        <v>2</v>
      </c>
    </row>
    <row r="4" spans="1:12" x14ac:dyDescent="0.25">
      <c r="A4" t="s">
        <v>0</v>
      </c>
      <c r="B4" t="str">
        <f>'Macro Dashboard'!A5</f>
        <v>ISM Services (PMI)</v>
      </c>
      <c r="C4" s="7">
        <f>'Macro Dashboard'!B5</f>
        <v>0</v>
      </c>
      <c r="D4" s="7">
        <f>'Macro Dashboard'!C5</f>
        <v>0</v>
      </c>
      <c r="E4" s="7">
        <f>'Macro Dashboard'!D5</f>
        <v>0</v>
      </c>
      <c r="G4" t="str">
        <f>'Macro Dashboard'!E5</f>
        <v>Contracting</v>
      </c>
      <c r="H4" t="str">
        <f>'Macro Dashboard'!F5</f>
        <v>Faster</v>
      </c>
      <c r="I4">
        <f>'Macro Dashboard'!G5</f>
        <v>0</v>
      </c>
      <c r="K4" t="str">
        <f>'Macro Dashboard'!$A$10</f>
        <v>Recession Risk</v>
      </c>
      <c r="L4">
        <v>3</v>
      </c>
    </row>
    <row r="5" spans="1:12" x14ac:dyDescent="0.25">
      <c r="A5" t="s">
        <v>0</v>
      </c>
      <c r="B5" t="str">
        <f>'Macro Dashboard'!A6</f>
        <v>Industrial Production</v>
      </c>
      <c r="C5">
        <f>'Macro Dashboard'!B6</f>
        <v>0</v>
      </c>
      <c r="D5">
        <f>'Macro Dashboard'!C6</f>
        <v>0</v>
      </c>
      <c r="E5">
        <f>'Macro Dashboard'!D6</f>
        <v>0</v>
      </c>
      <c r="G5" t="str">
        <f>'Macro Dashboard'!E6</f>
        <v>Contracting</v>
      </c>
      <c r="H5" t="str">
        <f>'Macro Dashboard'!F6</f>
        <v>Stable</v>
      </c>
      <c r="I5">
        <f>'Macro Dashboard'!G6</f>
        <v>0</v>
      </c>
      <c r="K5" t="str">
        <f>'Macro Dashboard'!$A$10</f>
        <v>Recession Risk</v>
      </c>
      <c r="L5">
        <v>4</v>
      </c>
    </row>
    <row r="6" spans="1:12" x14ac:dyDescent="0.25">
      <c r="A6" t="s">
        <v>12</v>
      </c>
      <c r="B6" t="str">
        <f>'Macro Dashboard'!I3</f>
        <v>Nonfarm Payrolls</v>
      </c>
      <c r="C6" s="15">
        <f>'Macro Dashboard'!J3</f>
        <v>0</v>
      </c>
      <c r="D6" s="15">
        <f>'Macro Dashboard'!K3</f>
        <v>0</v>
      </c>
      <c r="E6" s="3" t="e">
        <f>'Macro Dashboard'!L3</f>
        <v>#DIV/0!</v>
      </c>
      <c r="F6" s="3"/>
      <c r="K6" t="str">
        <f>'Macro Dashboard'!$I$10</f>
        <v>Weakand Mixed</v>
      </c>
      <c r="L6">
        <v>5</v>
      </c>
    </row>
    <row r="7" spans="1:12" x14ac:dyDescent="0.25">
      <c r="A7" t="s">
        <v>12</v>
      </c>
      <c r="B7" t="str">
        <f>'Macro Dashboard'!I4</f>
        <v>Unemployment Rate</v>
      </c>
      <c r="C7" s="7">
        <f>'Macro Dashboard'!J4</f>
        <v>0</v>
      </c>
      <c r="D7" s="7">
        <f>'Macro Dashboard'!K4</f>
        <v>0</v>
      </c>
      <c r="E7" s="3" t="e">
        <f>'Macro Dashboard'!L4</f>
        <v>#DIV/0!</v>
      </c>
      <c r="F7" s="3"/>
      <c r="K7" t="str">
        <f>'Macro Dashboard'!$I$10</f>
        <v>Weakand Mixed</v>
      </c>
      <c r="L7">
        <v>6</v>
      </c>
    </row>
    <row r="8" spans="1:12" x14ac:dyDescent="0.25">
      <c r="A8" t="s">
        <v>12</v>
      </c>
      <c r="B8" t="str">
        <f>'Macro Dashboard'!I5</f>
        <v>Labor Force Participation</v>
      </c>
      <c r="C8" s="7">
        <f>'Macro Dashboard'!J5</f>
        <v>0</v>
      </c>
      <c r="D8" s="7">
        <f>'Macro Dashboard'!K5</f>
        <v>0</v>
      </c>
      <c r="E8" s="7" t="e">
        <f>'Macro Dashboard'!L5</f>
        <v>#DIV/0!</v>
      </c>
      <c r="F8" s="17"/>
      <c r="K8" t="str">
        <f>'Macro Dashboard'!$I$10</f>
        <v>Weakand Mixed</v>
      </c>
      <c r="L8">
        <v>7</v>
      </c>
    </row>
    <row r="9" spans="1:12" x14ac:dyDescent="0.25">
      <c r="A9" t="s">
        <v>12</v>
      </c>
      <c r="B9" t="str">
        <f>'Macro Dashboard'!I6</f>
        <v>Wage Growth</v>
      </c>
      <c r="C9" s="16">
        <f>'Macro Dashboard'!J6</f>
        <v>0</v>
      </c>
      <c r="D9" s="16">
        <f>'Macro Dashboard'!K6</f>
        <v>0</v>
      </c>
      <c r="E9" s="16">
        <f>'Macro Dashboard'!L6</f>
        <v>0</v>
      </c>
      <c r="F9" s="7"/>
      <c r="K9" t="str">
        <f>'Macro Dashboard'!$I$10</f>
        <v>Weakand Mixed</v>
      </c>
      <c r="L9">
        <v>8</v>
      </c>
    </row>
    <row r="10" spans="1:12" x14ac:dyDescent="0.25">
      <c r="A10" t="s">
        <v>17</v>
      </c>
      <c r="B10" t="str">
        <f>'Macro Dashboard'!N3</f>
        <v>CPI</v>
      </c>
      <c r="C10" s="7">
        <f>'Macro Dashboard'!O3</f>
        <v>0</v>
      </c>
      <c r="D10" s="7">
        <f>'Macro Dashboard'!P3</f>
        <v>0</v>
      </c>
      <c r="E10" s="7"/>
      <c r="F10" s="7">
        <f>'Macro Dashboard'!Q3</f>
        <v>0.02</v>
      </c>
      <c r="K10" t="e">
        <f>'Macro Dashboard'!$N$10</f>
        <v>#DIV/0!</v>
      </c>
      <c r="L10">
        <v>9</v>
      </c>
    </row>
    <row r="11" spans="1:12" x14ac:dyDescent="0.25">
      <c r="A11" t="s">
        <v>17</v>
      </c>
      <c r="B11" t="str">
        <f>'Macro Dashboard'!N4</f>
        <v>Core CPI</v>
      </c>
      <c r="C11" s="7">
        <f>'Macro Dashboard'!O4</f>
        <v>0</v>
      </c>
      <c r="D11" s="7">
        <f>'Macro Dashboard'!P4</f>
        <v>0</v>
      </c>
      <c r="F11" s="7">
        <f>'Macro Dashboard'!Q4</f>
        <v>0.02</v>
      </c>
      <c r="K11" t="e">
        <f>'Macro Dashboard'!$N$10</f>
        <v>#DIV/0!</v>
      </c>
      <c r="L11">
        <v>10</v>
      </c>
    </row>
    <row r="12" spans="1:12" x14ac:dyDescent="0.25">
      <c r="A12" t="s">
        <v>17</v>
      </c>
      <c r="B12" t="str">
        <f>'Macro Dashboard'!N5</f>
        <v>PCE</v>
      </c>
      <c r="C12" s="7">
        <f>'Macro Dashboard'!O5</f>
        <v>0</v>
      </c>
      <c r="D12" s="7">
        <f>'Macro Dashboard'!P5</f>
        <v>0</v>
      </c>
      <c r="F12" s="7">
        <f>'Macro Dashboard'!Q5</f>
        <v>0.02</v>
      </c>
      <c r="K12" t="e">
        <f>'Macro Dashboard'!$N$10</f>
        <v>#DIV/0!</v>
      </c>
      <c r="L12">
        <v>11</v>
      </c>
    </row>
    <row r="13" spans="1:12" x14ac:dyDescent="0.25">
      <c r="A13" t="s">
        <v>17</v>
      </c>
      <c r="B13" t="str">
        <f>'Macro Dashboard'!N6</f>
        <v>Core PCE</v>
      </c>
      <c r="C13" s="7">
        <f>'Macro Dashboard'!O6</f>
        <v>0</v>
      </c>
      <c r="D13" s="7">
        <f>'Macro Dashboard'!P6</f>
        <v>0</v>
      </c>
      <c r="F13" s="7">
        <f>'Macro Dashboard'!Q6</f>
        <v>0.02</v>
      </c>
      <c r="K13" t="e">
        <f>'Macro Dashboard'!$N$10</f>
        <v>#DIV/0!</v>
      </c>
      <c r="L13">
        <v>12</v>
      </c>
    </row>
    <row r="14" spans="1:12" x14ac:dyDescent="0.25">
      <c r="A14" t="s">
        <v>23</v>
      </c>
      <c r="B14" t="str">
        <f>'Macro Dashboard'!S3</f>
        <v>Fed Funds Rate</v>
      </c>
      <c r="C14" s="7">
        <f>'Macro Dashboard'!T3</f>
        <v>0</v>
      </c>
      <c r="J14" t="str">
        <f>'Macro Dashboard'!U3</f>
        <v>Accommodative</v>
      </c>
      <c r="K14" t="str">
        <f>'Macro Dashboard'!$S$10</f>
        <v>Supportive and Easing</v>
      </c>
      <c r="L14">
        <v>13</v>
      </c>
    </row>
    <row r="15" spans="1:12" x14ac:dyDescent="0.25">
      <c r="A15" t="s">
        <v>23</v>
      </c>
      <c r="B15" t="str">
        <f>'Macro Dashboard'!S4</f>
        <v>2-Year Treasury</v>
      </c>
      <c r="C15" s="7">
        <f>'Macro Dashboard'!T4</f>
        <v>0</v>
      </c>
      <c r="J15" t="str">
        <f>'Macro Dashboard'!U4</f>
        <v>Low</v>
      </c>
      <c r="K15" t="str">
        <f>'Macro Dashboard'!$S$10</f>
        <v>Supportive and Easing</v>
      </c>
      <c r="L15">
        <v>14</v>
      </c>
    </row>
    <row r="16" spans="1:12" x14ac:dyDescent="0.25">
      <c r="A16" t="s">
        <v>23</v>
      </c>
      <c r="B16" t="str">
        <f>'Macro Dashboard'!S5</f>
        <v>10-Year Treasury</v>
      </c>
      <c r="C16" s="7">
        <f>'Macro Dashboard'!T5</f>
        <v>0</v>
      </c>
      <c r="J16" t="str">
        <f>'Macro Dashboard'!U5</f>
        <v>Low</v>
      </c>
      <c r="K16" t="str">
        <f>'Macro Dashboard'!$S$10</f>
        <v>Supportive and Easing</v>
      </c>
      <c r="L16">
        <v>15</v>
      </c>
    </row>
    <row r="17" spans="1:12" x14ac:dyDescent="0.25">
      <c r="A17" t="s">
        <v>23</v>
      </c>
      <c r="B17" t="str">
        <f>'Macro Dashboard'!S6</f>
        <v>Yield Curve Spread</v>
      </c>
      <c r="C17" s="7">
        <f>'Macro Dashboard'!T6</f>
        <v>0</v>
      </c>
      <c r="J17" t="str">
        <f>'Macro Dashboard'!U6</f>
        <v>Normal</v>
      </c>
      <c r="K17" t="str">
        <f>'Macro Dashboard'!$S$10</f>
        <v>Supportive and Easing</v>
      </c>
      <c r="L17">
        <v>16</v>
      </c>
    </row>
    <row r="18" spans="1:12" x14ac:dyDescent="0.25">
      <c r="A18" t="s">
        <v>38</v>
      </c>
      <c r="B18" t="str">
        <f>'Macro Dashboard'!W3</f>
        <v>High Yield Spread (Junk)</v>
      </c>
      <c r="C18" s="7">
        <f>'Macro Dashboard'!X3</f>
        <v>0</v>
      </c>
      <c r="J18" t="str">
        <f>'Macro Dashboard'!Y3</f>
        <v>Loose</v>
      </c>
      <c r="K18" t="str">
        <f>'Macro Dashboard'!$W$10</f>
        <v>Loose and Stable</v>
      </c>
      <c r="L18">
        <v>17</v>
      </c>
    </row>
    <row r="19" spans="1:12" x14ac:dyDescent="0.25">
      <c r="A19" t="s">
        <v>38</v>
      </c>
      <c r="B19" t="str">
        <f>'Macro Dashboard'!W4</f>
        <v>Investment Grade Spread</v>
      </c>
      <c r="C19" s="7">
        <f>'Macro Dashboard'!X4</f>
        <v>0</v>
      </c>
      <c r="J19" t="str">
        <f>'Macro Dashboard'!Y4</f>
        <v>Loose</v>
      </c>
      <c r="K19" t="str">
        <f>'Macro Dashboard'!$W$10</f>
        <v>Loose and Stable</v>
      </c>
      <c r="L19">
        <v>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F2655-1675-4EDB-8687-66BE6A89473A}">
  <dimension ref="A1:B2"/>
  <sheetViews>
    <sheetView workbookViewId="0">
      <selection activeCell="C9" sqref="C9"/>
    </sheetView>
  </sheetViews>
  <sheetFormatPr defaultRowHeight="15" x14ac:dyDescent="0.25"/>
  <cols>
    <col min="1" max="1" width="16.28515625" customWidth="1"/>
    <col min="2" max="2" width="15.85546875" customWidth="1"/>
  </cols>
  <sheetData>
    <row r="1" spans="1:2" x14ac:dyDescent="0.25">
      <c r="A1" t="s">
        <v>58</v>
      </c>
      <c r="B1" t="s">
        <v>59</v>
      </c>
    </row>
    <row r="2" spans="1:2" x14ac:dyDescent="0.25">
      <c r="A2" t="s">
        <v>60</v>
      </c>
      <c r="B2">
        <f>'Macro Dashboard'!$D$13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F7450-898C-45B4-A3AA-A29B5BAE7823}">
  <sheetPr codeName="Sheet2"/>
  <dimension ref="A1:D11"/>
  <sheetViews>
    <sheetView workbookViewId="0">
      <selection activeCell="C37" sqref="C37"/>
    </sheetView>
  </sheetViews>
  <sheetFormatPr defaultRowHeight="15" x14ac:dyDescent="0.25"/>
  <cols>
    <col min="1" max="1" width="42" customWidth="1"/>
    <col min="2" max="2" width="16.85546875" customWidth="1"/>
    <col min="3" max="3" width="114.7109375" customWidth="1"/>
    <col min="4" max="4" width="27.5703125" customWidth="1"/>
  </cols>
  <sheetData>
    <row r="1" spans="1:4" ht="15.75" thickBot="1" x14ac:dyDescent="0.3">
      <c r="A1" s="10" t="s">
        <v>7</v>
      </c>
      <c r="B1" s="10" t="s">
        <v>32</v>
      </c>
      <c r="C1" s="10" t="s">
        <v>33</v>
      </c>
      <c r="D1" s="10" t="s">
        <v>53</v>
      </c>
    </row>
    <row r="2" spans="1:4" x14ac:dyDescent="0.25">
      <c r="A2" t="s">
        <v>34</v>
      </c>
      <c r="B2" t="s">
        <v>39</v>
      </c>
      <c r="C2" s="11" t="s">
        <v>44</v>
      </c>
      <c r="D2" s="14"/>
    </row>
    <row r="3" spans="1:4" x14ac:dyDescent="0.25">
      <c r="A3" t="s">
        <v>35</v>
      </c>
      <c r="B3" t="s">
        <v>40</v>
      </c>
      <c r="C3" s="11" t="s">
        <v>45</v>
      </c>
      <c r="D3" s="14"/>
    </row>
    <row r="4" spans="1:4" x14ac:dyDescent="0.25">
      <c r="A4" t="s">
        <v>36</v>
      </c>
      <c r="B4" t="s">
        <v>40</v>
      </c>
      <c r="C4" s="11" t="s">
        <v>45</v>
      </c>
      <c r="D4" s="14"/>
    </row>
    <row r="5" spans="1:4" x14ac:dyDescent="0.25">
      <c r="A5" t="s">
        <v>54</v>
      </c>
      <c r="B5" t="s">
        <v>41</v>
      </c>
      <c r="C5" s="11" t="s">
        <v>46</v>
      </c>
      <c r="D5" s="14"/>
    </row>
    <row r="6" spans="1:4" x14ac:dyDescent="0.25">
      <c r="A6" t="s">
        <v>12</v>
      </c>
      <c r="B6" t="s">
        <v>42</v>
      </c>
      <c r="C6" s="11" t="s">
        <v>47</v>
      </c>
      <c r="D6" s="14"/>
    </row>
    <row r="7" spans="1:4" x14ac:dyDescent="0.25">
      <c r="A7" t="s">
        <v>18</v>
      </c>
      <c r="B7" t="s">
        <v>42</v>
      </c>
      <c r="C7" s="11" t="s">
        <v>48</v>
      </c>
      <c r="D7" s="14"/>
    </row>
    <row r="8" spans="1:4" x14ac:dyDescent="0.25">
      <c r="A8" t="s">
        <v>20</v>
      </c>
      <c r="B8" t="s">
        <v>39</v>
      </c>
      <c r="C8" s="11" t="s">
        <v>49</v>
      </c>
      <c r="D8" s="14"/>
    </row>
    <row r="9" spans="1:4" x14ac:dyDescent="0.25">
      <c r="A9" t="s">
        <v>22</v>
      </c>
      <c r="B9" t="s">
        <v>41</v>
      </c>
      <c r="C9" s="11" t="s">
        <v>50</v>
      </c>
      <c r="D9" s="14"/>
    </row>
    <row r="10" spans="1:4" x14ac:dyDescent="0.25">
      <c r="A10" t="s">
        <v>37</v>
      </c>
      <c r="B10" t="s">
        <v>43</v>
      </c>
      <c r="C10" s="11" t="s">
        <v>51</v>
      </c>
      <c r="D10" s="14"/>
    </row>
    <row r="11" spans="1:4" x14ac:dyDescent="0.25">
      <c r="A11" t="s">
        <v>38</v>
      </c>
      <c r="B11" t="s">
        <v>43</v>
      </c>
      <c r="C11" s="11" t="s">
        <v>52</v>
      </c>
      <c r="D11" s="14"/>
    </row>
  </sheetData>
  <hyperlinks>
    <hyperlink ref="C2" r:id="rId1" xr:uid="{3FA2254D-8AE3-4D74-AF4A-F76609FAEAB4}"/>
    <hyperlink ref="C3" r:id="rId2" xr:uid="{8214C2EA-7C0B-4A3B-9990-641943C5D2A8}"/>
    <hyperlink ref="C4" r:id="rId3" xr:uid="{F69EBDB6-15AD-458A-A6AA-613C084A9C5D}"/>
    <hyperlink ref="C5" r:id="rId4" xr:uid="{C5E8FA84-D7DF-4A1D-8173-79ADDFF1175F}"/>
    <hyperlink ref="C6" r:id="rId5" xr:uid="{E83CF528-89A7-402F-8E45-3BD060FE46FF}"/>
    <hyperlink ref="C7" r:id="rId6" xr:uid="{EB598651-33BF-4DD9-ADD4-7C8AEF6F53A6}"/>
    <hyperlink ref="C8" r:id="rId7" xr:uid="{259BB289-A457-450A-A460-F28DD8FF2723}"/>
    <hyperlink ref="C9" r:id="rId8" xr:uid="{C2D5F380-BA66-4EA2-8E80-97D7C29E51E8}"/>
    <hyperlink ref="C10" r:id="rId9" xr:uid="{9204495A-232B-42BA-9E31-8961E09C9000}"/>
    <hyperlink ref="C11" r:id="rId10" xr:uid="{814E8E08-71C1-414B-9DC4-6396B374E53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 Dashboard</vt:lpstr>
      <vt:lpstr>PBI Table Data</vt:lpstr>
      <vt:lpstr>PBI Summary</vt:lpstr>
      <vt:lpstr>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Benitez</dc:creator>
  <cp:lastModifiedBy>Matthias Benitez</cp:lastModifiedBy>
  <dcterms:created xsi:type="dcterms:W3CDTF">2026-06-03T18:56:20Z</dcterms:created>
  <dcterms:modified xsi:type="dcterms:W3CDTF">2026-06-04T22:36:55Z</dcterms:modified>
</cp:coreProperties>
</file>