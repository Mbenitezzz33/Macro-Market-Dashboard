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cea2797ffbf6ddd3/Documents/Personal Finance Projects/"/>
    </mc:Choice>
  </mc:AlternateContent>
  <xr:revisionPtr revIDLastSave="416" documentId="8_{BA6F71B7-24CB-4964-B7A7-82D0FCC95A20}" xr6:coauthVersionLast="47" xr6:coauthVersionMax="47" xr10:uidLastSave="{4C37DF79-99EA-438A-8B6D-2C67223DB870}"/>
  <bookViews>
    <workbookView xWindow="-120" yWindow="-120" windowWidth="38640" windowHeight="21240" xr2:uid="{7C01C177-3D62-4F13-B7BF-98E855C8085E}"/>
  </bookViews>
  <sheets>
    <sheet name="Macro Dashboard" sheetId="1" r:id="rId1"/>
    <sheet name="PBI Table Data" sheetId="3" r:id="rId2"/>
    <sheet name="PBI Summary" sheetId="4" r:id="rId3"/>
    <sheet name="Sources" sheetId="2" r:id="rId4"/>
  </sheets>
  <functionGroups builtInGroupCount="19"/>
  <definedNames>
    <definedName name="_xleta.IF" hidden="1" xlm="1">#NAME?</definedName>
    <definedName name="_xlpm.AVGcurrent" hidden="1" xlm="1">#NAME?</definedName>
    <definedName name="_xlpm.AVGprior" hidden="1" xlm="1">#NAME?</definedName>
    <definedName name="_xlpm.AVGtarget" hidden="1" xlm="1">#NAME?</definedName>
    <definedName name="_xlpm.Bad" hidden="1" xlm="1">#NAME?</definedName>
    <definedName name="_xlpm.condition" hidden="1" xlm="1">#NAME?</definedName>
    <definedName name="_xlpm.Good" hidden="1" xlm="1">#NAME?</definedName>
    <definedName name="_xlpm.Moment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L3" i="1" l="1"/>
  <c r="T6" i="1"/>
  <c r="D2" i="3"/>
  <c r="J15" i="3"/>
  <c r="J16" i="3"/>
  <c r="J17" i="3"/>
  <c r="J14" i="3"/>
  <c r="B2" i="4"/>
  <c r="L6" i="1"/>
  <c r="D5" i="3"/>
  <c r="D4" i="3"/>
  <c r="D5" i="1"/>
  <c r="E5" i="1"/>
  <c r="G4" i="3" s="1"/>
  <c r="E4" i="1"/>
  <c r="G3" i="3" s="1"/>
  <c r="D3" i="3"/>
  <c r="D4" i="1"/>
  <c r="C19" i="3"/>
  <c r="C18" i="3"/>
  <c r="B19" i="3"/>
  <c r="B18" i="3"/>
  <c r="K15" i="3"/>
  <c r="K16" i="3"/>
  <c r="K17" i="3"/>
  <c r="K14" i="3"/>
  <c r="C15" i="3"/>
  <c r="C16" i="3"/>
  <c r="C17" i="3"/>
  <c r="C14" i="3"/>
  <c r="B15" i="3"/>
  <c r="B16" i="3"/>
  <c r="B17" i="3"/>
  <c r="B14" i="3"/>
  <c r="D11" i="3"/>
  <c r="D12" i="3"/>
  <c r="D13" i="3"/>
  <c r="C11" i="3"/>
  <c r="C12" i="3"/>
  <c r="C13" i="3"/>
  <c r="F11" i="3"/>
  <c r="F12" i="3"/>
  <c r="F13" i="3"/>
  <c r="F10" i="3"/>
  <c r="C10" i="3"/>
  <c r="D10" i="3"/>
  <c r="B11" i="3"/>
  <c r="B12" i="3"/>
  <c r="B13" i="3"/>
  <c r="B10" i="3"/>
  <c r="L5" i="1"/>
  <c r="E8" i="3" s="1"/>
  <c r="E7" i="3"/>
  <c r="E9" i="3"/>
  <c r="E6" i="3"/>
  <c r="D7" i="3"/>
  <c r="D8" i="3"/>
  <c r="D9" i="3"/>
  <c r="D6" i="3"/>
  <c r="C7" i="3"/>
  <c r="C8" i="3"/>
  <c r="C9" i="3"/>
  <c r="C6" i="3"/>
  <c r="B7" i="3"/>
  <c r="B8" i="3"/>
  <c r="B9" i="3"/>
  <c r="B6" i="3"/>
  <c r="I3" i="3"/>
  <c r="I4" i="3"/>
  <c r="I5" i="3"/>
  <c r="I2" i="3"/>
  <c r="H3" i="3"/>
  <c r="H4" i="3"/>
  <c r="H5" i="3"/>
  <c r="H2" i="3"/>
  <c r="G5" i="3"/>
  <c r="G2" i="3"/>
  <c r="E5" i="3"/>
  <c r="E2" i="3"/>
  <c r="C3" i="3"/>
  <c r="C4" i="3"/>
  <c r="C5" i="3"/>
  <c r="C2" i="3"/>
  <c r="B3" i="3"/>
  <c r="B4" i="3"/>
  <c r="B5" i="3"/>
  <c r="B2" i="3"/>
  <c r="N10" i="1"/>
  <c r="K11" i="3" s="1"/>
  <c r="I10" i="1"/>
  <c r="K9" i="3" s="1"/>
  <c r="Y3" i="1"/>
  <c r="J18" i="3" s="1"/>
  <c r="Y4" i="1"/>
  <c r="J19" i="3" s="1"/>
  <c r="U6" i="1"/>
  <c r="S10" i="1" s="1"/>
  <c r="U5" i="1"/>
  <c r="U4" i="1"/>
  <c r="U3" i="1"/>
  <c r="L4" i="1"/>
  <c r="D3" i="1"/>
  <c r="A10" i="1"/>
  <c r="K5" i="3" s="1"/>
  <c r="F6" i="1"/>
  <c r="F3" i="1"/>
  <c r="E6" i="1"/>
  <c r="E3" i="1"/>
  <c r="E4" i="3"/>
  <c r="D6" i="1"/>
  <c r="K12" i="3" l="1"/>
  <c r="K10" i="3"/>
  <c r="K13" i="3"/>
  <c r="K6" i="3"/>
  <c r="K8" i="3"/>
  <c r="K7" i="3"/>
  <c r="K2" i="3"/>
  <c r="K4" i="3"/>
  <c r="K3" i="3"/>
  <c r="E3" i="3"/>
  <c r="W10" i="1"/>
  <c r="K18" i="3" l="1"/>
  <c r="K19" i="3"/>
</calcChain>
</file>

<file path=xl/sharedStrings.xml><?xml version="1.0" encoding="utf-8"?>
<sst xmlns="http://schemas.openxmlformats.org/spreadsheetml/2006/main" count="123" uniqueCount="67">
  <si>
    <t>Economic Growth</t>
  </si>
  <si>
    <t>Current</t>
  </si>
  <si>
    <t>Prior</t>
  </si>
  <si>
    <t>Δ</t>
  </si>
  <si>
    <t>Direction</t>
  </si>
  <si>
    <t>Rate</t>
  </si>
  <si>
    <t>Trend</t>
  </si>
  <si>
    <t>Metric</t>
  </si>
  <si>
    <t>ISM Manufacturing (PMI)</t>
  </si>
  <si>
    <t>ISM Services (PMI)</t>
  </si>
  <si>
    <t>Faster</t>
  </si>
  <si>
    <t>Market Check</t>
  </si>
  <si>
    <t>Labor Market</t>
  </si>
  <si>
    <t>Nonfarm Payrolls</t>
  </si>
  <si>
    <t>Unemployment Rate</t>
  </si>
  <si>
    <t>Labor Force Participation</t>
  </si>
  <si>
    <t>Wage Growth</t>
  </si>
  <si>
    <t>Inflation</t>
  </si>
  <si>
    <t>CPI</t>
  </si>
  <si>
    <t>Core CPI</t>
  </si>
  <si>
    <t>PCE</t>
  </si>
  <si>
    <t>Core PCE</t>
  </si>
  <si>
    <t>Fed Target</t>
  </si>
  <si>
    <t>Interest Rates</t>
  </si>
  <si>
    <t>Condition</t>
  </si>
  <si>
    <t>Fed Funds Rate</t>
  </si>
  <si>
    <t>2-Year Treasury</t>
  </si>
  <si>
    <t>10-Year Treasury</t>
  </si>
  <si>
    <t>Yield Curve Spread</t>
  </si>
  <si>
    <t>Credit Condtions</t>
  </si>
  <si>
    <t>High Yield Spread (Junk)</t>
  </si>
  <si>
    <t>Investment Grade Spread</t>
  </si>
  <si>
    <t>Source</t>
  </si>
  <si>
    <t>Link</t>
  </si>
  <si>
    <t>GDP</t>
  </si>
  <si>
    <t xml:space="preserve">ISM Manufacturing </t>
  </si>
  <si>
    <t>ISM Services</t>
  </si>
  <si>
    <t>Fed Funds</t>
  </si>
  <si>
    <t>Credit Conditions</t>
  </si>
  <si>
    <t>BEA</t>
  </si>
  <si>
    <t>ISM</t>
  </si>
  <si>
    <t>Federal Reserve</t>
  </si>
  <si>
    <t>BLS</t>
  </si>
  <si>
    <t>FRED</t>
  </si>
  <si>
    <t>https://www.bea.gov/data/gdp/gross-domestic-product</t>
  </si>
  <si>
    <t>https://www.ismworld.org/supply-management-news-and-reports/reports/ism-pmi-reports/</t>
  </si>
  <si>
    <t>https://www.federalreserve.gov/releases/g17/current/default.htm?utm_source</t>
  </si>
  <si>
    <t>https://www.bls.gov/news.release/empsit.htm</t>
  </si>
  <si>
    <t>https://www.bls.gov/cpi/</t>
  </si>
  <si>
    <t>https://www.bea.gov/data/personal-consumption-expenditures-price-index</t>
  </si>
  <si>
    <t>https://www.federalreserve.gov/monetarypolicy/review-of-monetary-policy-strategy-tools-and-communications-2025.htm</t>
  </si>
  <si>
    <t>https://fred.stlouisfed.org/</t>
  </si>
  <si>
    <t>https://fred.stlouisfed.org/categories/32348</t>
  </si>
  <si>
    <t>Date Entered</t>
  </si>
  <si>
    <t>Industrial Production</t>
  </si>
  <si>
    <t>Category</t>
  </si>
  <si>
    <t>Delta</t>
  </si>
  <si>
    <t>GDP Growth-(1st QTR 26')</t>
  </si>
  <si>
    <t>4 QTR's</t>
  </si>
  <si>
    <t>19 Mo</t>
  </si>
  <si>
    <t>23 Mo</t>
  </si>
  <si>
    <t>YoY 1.4%</t>
  </si>
  <si>
    <t>Current Macro Regime: Policy-Constrained Expansion_x000D_
Risk Tone: Elevated_x000D_
_x000D_
Economic growth remains in expansion territory, indicating that overall activity is still moving forward. The labor market remains healthy, although the direction of momentum still matters for the broader outlook. Momentum is slowing. Inflation remains high, keeping price pressure at the center of the macro outlook. The direction is unfavorable, with inflation continuing to rise. This combination supports a tighter policy stance. Interest rates remain restrictive, which should continue to weigh on rate-sensitive areas of the economy. The stance is stable for now. Credit conditions are loose, suggesting capital markets remain supportive._x000D_
_x000D_
Overall, the backdrop reflects an expansion constrained by inflation and restrictive policy. The environment is not outright recessionary, but the margin for error is narrower._x000D_
_x000D_
Summary generated: 6/3/2026 10:35 PM</t>
  </si>
  <si>
    <t>Summary Type</t>
  </si>
  <si>
    <t>Summary Text</t>
  </si>
  <si>
    <t>Macro Summary</t>
  </si>
  <si>
    <t>Sort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</si>
</sst>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0.000"/>
    <numFmt numFmtId="165" formatCode="m/d/yyyy\ h:mm\ AM/PM"/>
  </numFmts>
  <fonts count="9" x14ac:knownFonts="1">
    <font>
      <sz val="11"/>
      <color theme="1"/>
      <name val="Aptos Narrow"/>
      <family val="2"/>
      <scheme val="minor"/>
    </font>
    <font>
      <sz val="11"/>
      <color theme="1"/>
      <name val="Aptos Narrow"/>
      <family val="2"/>
      <scheme val="minor"/>
    </font>
    <font>
      <sz val="11"/>
      <color rgb="FF0101FF"/>
      <name val="Aptos Narrow"/>
      <family val="2"/>
      <scheme val="minor"/>
    </font>
    <font>
      <b/>
      <sz val="11"/>
      <color theme="1"/>
      <name val="Arial"/>
      <family val="2"/>
    </font>
    <font>
      <b/>
      <sz val="24"/>
      <color theme="1"/>
      <name val="Arial"/>
      <family val="2"/>
    </font>
    <font>
      <u/>
      <sz val="11"/>
      <color theme="10"/>
      <name val="Aptos Narrow"/>
      <family val="2"/>
      <scheme val="minor"/>
    </font>
    <font>
      <i/>
      <sz val="11"/>
      <color theme="1"/>
      <name val="Arial"/>
      <family val="2"/>
    </font>
    <font>
      <sz val="11"/>
      <color rgb="FF00823B"/>
      <name val="Aptos Narrow"/>
      <family val="2"/>
      <scheme val="minor"/>
    </font>
    <font>
      <sz val="11"/>
      <color rgb="FF000000"/>
      <name val="Aptos Narrow"/>
      <family val="2"/>
    </font>
  </fonts>
  <fills count="3">
    <fill>
      <patternFill patternType="none"/>
    </fill>
    <fill>
      <patternFill patternType="gray125"/>
    </fill>
    <fill>
      <patternFill patternType="solid">
        <fgColor theme="3" tint="0.79998168889431442"/>
        <bgColor indexed="64"/>
      </patternFill>
    </fill>
  </fills>
  <borders count="14">
    <border>
      <left/>
      <right/>
      <top/>
      <bottom/>
      <diagonal/>
    </border>
    <border>
      <left/>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5" fillId="0" borderId="0" applyNumberFormat="0" applyFill="0" applyBorder="0" applyAlignment="0" applyProtection="0"/>
  </cellStyleXfs>
  <cellXfs count="32">
    <xf numFmtId="0" fontId="0" fillId="0" borderId="0" xfId="0"/>
    <xf numFmtId="10" fontId="2" fillId="0" borderId="0" xfId="2" applyNumberFormat="1" applyFont="1"/>
    <xf numFmtId="0" fontId="2" fillId="0" borderId="0" xfId="2" applyNumberFormat="1" applyFont="1"/>
    <xf numFmtId="10" fontId="0" fillId="0" borderId="0" xfId="0" applyNumberFormat="1"/>
    <xf numFmtId="0" fontId="3" fillId="0" borderId="2" xfId="0" applyFont="1" applyBorder="1" applyAlignment="1">
      <alignment horizontal="center"/>
    </xf>
    <xf numFmtId="0" fontId="0" fillId="0" borderId="0" xfId="0" applyAlignment="1">
      <alignment horizontal="center"/>
    </xf>
    <xf numFmtId="44" fontId="2" fillId="0" borderId="0" xfId="1" applyFont="1"/>
    <xf numFmtId="10" fontId="0" fillId="0" borderId="0" xfId="2" applyNumberFormat="1" applyFont="1"/>
    <xf numFmtId="3" fontId="2" fillId="0" borderId="0" xfId="0" applyNumberFormat="1" applyFont="1"/>
    <xf numFmtId="0" fontId="0" fillId="0" borderId="0" xfId="2" applyNumberFormat="1" applyFont="1"/>
    <xf numFmtId="0" fontId="3" fillId="2" borderId="6" xfId="0" applyFont="1" applyFill="1" applyBorder="1"/>
    <xf numFmtId="0" fontId="5" fillId="0" borderId="0" xfId="3"/>
    <xf numFmtId="2" fontId="0" fillId="0" borderId="0" xfId="0" applyNumberFormat="1"/>
    <xf numFmtId="0" fontId="6" fillId="0" borderId="0" xfId="0" applyFont="1" applyAlignment="1">
      <alignment vertical="top" wrapText="1"/>
    </xf>
    <xf numFmtId="165" fontId="7" fillId="0" borderId="0" xfId="0" applyNumberFormat="1" applyFont="1"/>
    <xf numFmtId="3" fontId="0" fillId="0" borderId="0" xfId="0" applyNumberFormat="1"/>
    <xf numFmtId="44" fontId="0" fillId="0" borderId="0" xfId="1" applyFont="1"/>
    <xf numFmtId="164" fontId="0" fillId="0" borderId="0" xfId="0" applyNumberFormat="1"/>
    <xf numFmtId="0" fontId="3" fillId="2" borderId="1" xfId="0" applyFont="1" applyFill="1" applyBorder="1" applyAlignment="1">
      <alignment horizontal="center"/>
    </xf>
    <xf numFmtId="0" fontId="4" fillId="2" borderId="4" xfId="0" applyFont="1" applyFill="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6" fillId="0" borderId="7" xfId="0" applyFont="1" applyBorder="1" applyAlignment="1">
      <alignment vertical="top" wrapText="1"/>
    </xf>
    <xf numFmtId="0" fontId="6" fillId="0" borderId="8" xfId="0" applyFont="1" applyBorder="1" applyAlignment="1">
      <alignment vertical="top" wrapText="1"/>
    </xf>
    <xf numFmtId="0" fontId="6" fillId="0" borderId="9" xfId="0" applyFont="1" applyBorder="1" applyAlignment="1">
      <alignment vertical="top" wrapText="1"/>
    </xf>
    <xf numFmtId="0" fontId="6" fillId="0" borderId="10" xfId="0" applyFont="1" applyBorder="1" applyAlignment="1">
      <alignment vertical="top" wrapText="1"/>
    </xf>
    <xf numFmtId="0" fontId="6" fillId="0" borderId="0" xfId="0" applyFont="1" applyAlignment="1">
      <alignment vertical="top" wrapText="1"/>
    </xf>
    <xf numFmtId="0" fontId="6" fillId="0" borderId="11" xfId="0" applyFont="1" applyBorder="1" applyAlignment="1">
      <alignment vertical="top" wrapText="1"/>
    </xf>
    <xf numFmtId="0" fontId="6" fillId="0" borderId="12" xfId="0" applyFont="1" applyBorder="1" applyAlignment="1">
      <alignment vertical="top" wrapText="1"/>
    </xf>
    <xf numFmtId="0" fontId="6" fillId="0" borderId="6" xfId="0" applyFont="1" applyBorder="1" applyAlignment="1">
      <alignment vertical="top" wrapText="1"/>
    </xf>
    <xf numFmtId="0" fontId="6" fillId="0" borderId="13" xfId="0" applyFont="1" applyBorder="1" applyAlignment="1">
      <alignment vertical="top" wrapText="1"/>
    </xf>
  </cellXfs>
  <cellStyles count="4">
    <cellStyle name="Currency" xfId="1" builtinId="4"/>
    <cellStyle name="Hyperlink" xfId="3" builtinId="8"/>
    <cellStyle name="Normal" xfId="0" builtinId="0"/>
    <cellStyle name="Percent" xfId="2" builtinId="5"/>
  </cellStyles>
  <dxfs count="21">
    <dxf>
      <font>
        <b val="0"/>
        <i val="0"/>
        <strike val="0"/>
        <condense val="0"/>
        <extend val="0"/>
        <outline val="0"/>
        <shadow val="0"/>
        <u val="none"/>
        <vertAlign val="baseline"/>
        <sz val="11"/>
        <color theme="1"/>
        <name val="Aptos Narrow"/>
        <family val="2"/>
        <scheme val="minor"/>
      </font>
      <numFmt numFmtId="14" formatCode="0.00%"/>
    </dxf>
    <dxf>
      <fill>
        <gradientFill type="path" left="0.5" right="0.5" top="0.5" bottom="0.5">
          <stop position="0">
            <color theme="0"/>
          </stop>
          <stop position="1">
            <color rgb="FFFF5050"/>
          </stop>
        </gradientFill>
      </fill>
    </dxf>
    <dxf>
      <fill>
        <gradientFill type="path" left="0.5" right="0.5" top="0.5" bottom="0.5">
          <stop position="0">
            <color theme="0"/>
          </stop>
          <stop position="1">
            <color rgb="FFFF9933"/>
          </stop>
        </gradientFill>
      </fill>
    </dxf>
    <dxf>
      <fill>
        <gradientFill type="path" left="0.5" right="0.5" top="0.5" bottom="0.5">
          <stop position="0">
            <color theme="0"/>
          </stop>
          <stop position="1">
            <color rgb="FFFFFF99"/>
          </stop>
        </gradientFill>
      </fill>
    </dxf>
    <dxf>
      <fill>
        <gradientFill type="path" left="0.5" right="0.5" top="0.5" bottom="0.5">
          <stop position="0">
            <color theme="0"/>
          </stop>
          <stop position="1">
            <color rgb="FF00CC00"/>
          </stop>
        </gradientFill>
      </fill>
    </dxf>
    <dxf>
      <fill>
        <gradientFill type="path" left="0.5" right="0.5" top="0.5" bottom="0.5">
          <stop position="0">
            <color theme="0"/>
          </stop>
          <stop position="1">
            <color rgb="FFFF5050"/>
          </stop>
        </gradientFill>
      </fill>
    </dxf>
    <dxf>
      <fill>
        <gradientFill type="path" left="0.5" right="0.5" top="0.5" bottom="0.5">
          <stop position="0">
            <color theme="0"/>
          </stop>
          <stop position="1">
            <color rgb="FFFF9933"/>
          </stop>
        </gradientFill>
      </fill>
    </dxf>
    <dxf>
      <fill>
        <gradientFill type="path" left="0.5" right="0.5" top="0.5" bottom="0.5">
          <stop position="0">
            <color theme="0"/>
          </stop>
          <stop position="1">
            <color rgb="FFFFFF99"/>
          </stop>
        </gradientFill>
      </fill>
    </dxf>
    <dxf>
      <fill>
        <gradientFill type="path" left="0.5" right="0.5" top="0.5" bottom="0.5">
          <stop position="0">
            <color theme="0"/>
          </stop>
          <stop position="1">
            <color rgb="FF99FF99"/>
          </stop>
        </gradientFill>
      </fill>
    </dxf>
    <dxf>
      <fill>
        <gradientFill type="path" left="0.5" right="0.5" top="0.5" bottom="0.5">
          <stop position="0">
            <color theme="0"/>
          </stop>
          <stop position="1">
            <color rgb="FF00CC00"/>
          </stop>
        </gradientFill>
      </fill>
    </dxf>
    <dxf>
      <fill>
        <gradientFill type="path" left="0.5" right="0.5" top="0.5" bottom="0.5">
          <stop position="0">
            <color theme="0"/>
          </stop>
          <stop position="1">
            <color rgb="FFFF5050"/>
          </stop>
        </gradientFill>
      </fill>
    </dxf>
    <dxf>
      <fill>
        <gradientFill type="path" left="0.5" right="0.5" top="0.5" bottom="0.5">
          <stop position="0">
            <color theme="0"/>
          </stop>
          <stop position="1">
            <color rgb="FFFFFF99"/>
          </stop>
        </gradientFill>
      </fill>
    </dxf>
    <dxf>
      <fill>
        <gradientFill type="path" left="0.5" right="0.5" top="0.5" bottom="0.5">
          <stop position="0">
            <color theme="0"/>
          </stop>
          <stop position="1">
            <color rgb="FF99FF99"/>
          </stop>
        </gradientFill>
      </fill>
    </dxf>
    <dxf>
      <fill>
        <gradientFill type="path" left="0.5" right="0.5" top="0.5" bottom="0.5">
          <stop position="0">
            <color theme="0"/>
          </stop>
          <stop position="1">
            <color rgb="FFFF5050"/>
          </stop>
        </gradientFill>
      </fill>
    </dxf>
    <dxf>
      <fill>
        <gradientFill type="path" left="0.5" right="0.5" top="0.5" bottom="0.5">
          <stop position="0">
            <color theme="0"/>
          </stop>
          <stop position="1">
            <color rgb="FFFFFF99"/>
          </stop>
        </gradientFill>
      </fill>
    </dxf>
    <dxf>
      <fill>
        <gradientFill type="path" left="0.5" right="0.5" top="0.5" bottom="0.5">
          <stop position="0">
            <color theme="0"/>
          </stop>
          <stop position="1">
            <color rgb="FF66FF66"/>
          </stop>
        </gradientFill>
      </fill>
    </dxf>
    <dxf>
      <fill>
        <gradientFill type="path" left="0.5" right="0.5" top="0.5" bottom="0.5">
          <stop position="0">
            <color theme="0"/>
          </stop>
          <stop position="1">
            <color rgb="FF00CC00"/>
          </stop>
        </gradientFill>
      </fill>
    </dxf>
    <dxf>
      <fill>
        <gradientFill type="path" left="0.5" right="0.5" top="0.5" bottom="0.5">
          <stop position="0">
            <color theme="0"/>
          </stop>
          <stop position="1">
            <color theme="2" tint="-9.8025452436902985E-2"/>
          </stop>
        </gradientFill>
      </fill>
    </dxf>
    <dxf>
      <fill>
        <gradientFill type="path" left="0.5" right="0.5" top="0.5" bottom="0.5">
          <stop position="0">
            <color theme="0"/>
          </stop>
          <stop position="1">
            <color rgb="FFFF5050"/>
          </stop>
        </gradientFill>
      </fill>
    </dxf>
    <dxf>
      <fill>
        <gradientFill type="path" left="0.5" right="0.5" top="0.5" bottom="0.5">
          <stop position="0">
            <color theme="0"/>
          </stop>
          <stop position="1">
            <color rgb="FFFFFF99"/>
          </stop>
        </gradientFill>
      </fill>
    </dxf>
    <dxf>
      <fill>
        <gradientFill type="path" left="0.5" right="0.5" top="0.5" bottom="0.5">
          <stop position="0">
            <color theme="0"/>
          </stop>
          <stop position="1">
            <color rgb="FF00CC00"/>
          </stop>
        </gradientFill>
      </fill>
    </dxf>
  </dxfs>
  <tableStyles count="0" defaultTableStyle="TableStyleMedium2" defaultPivotStyle="PivotStyleLight16"/>
  <colors>
    <mruColors>
      <color rgb="FF00823B"/>
      <color rgb="FFFF5050"/>
      <color rgb="FFFF9933"/>
      <color rgb="FFFFFF99"/>
      <color rgb="FF00CC00"/>
      <color rgb="FF99FF99"/>
      <color rgb="FF66FF66"/>
      <color rgb="FF33CC33"/>
      <color rgb="FF00CC66"/>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1219200</xdr:colOff>
          <xdr:row>11</xdr:row>
          <xdr:rowOff>142875</xdr:rowOff>
        </xdr:from>
        <xdr:to>
          <xdr:col>1</xdr:col>
          <xdr:colOff>600075</xdr:colOff>
          <xdr:row>14</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Summary</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67A9F9-82D1-4529-AF7E-805E96CEE88B}" name="PBI_Metrics" displayName="PBI_Metrics" ref="A1:L19" totalsRowShown="0">
  <autoFilter ref="A1:L19" xr:uid="{5167A9F9-82D1-4529-AF7E-805E96CEE88B}"/>
  <tableColumns count="12">
    <tableColumn id="1" xr3:uid="{9834F34B-4425-4B5D-BBE6-42A85EAE2297}" name="Category"/>
    <tableColumn id="2" xr3:uid="{182FA462-45C9-45AA-B1F8-96F0F4876644}" name="Metric"/>
    <tableColumn id="3" xr3:uid="{65261001-C21F-4021-AAF9-13DF5F0E0905}" name="Current" dataDxfId="0" dataCellStyle="Percent"/>
    <tableColumn id="4" xr3:uid="{2B42B841-E1FF-48C2-96E4-42D228DF1761}" name="Prior"/>
    <tableColumn id="5" xr3:uid="{B7EA8996-2BE0-4DD4-AFE1-EC54EB86AEED}" name="Delta"/>
    <tableColumn id="6" xr3:uid="{BD8237E3-105F-4C7F-B85C-4A7842F4CC6E}" name="Fed Target"/>
    <tableColumn id="7" xr3:uid="{E7E3CD4F-96F9-4092-B99F-278FB6257291}" name="Direction"/>
    <tableColumn id="8" xr3:uid="{8B646C1B-EC1A-4375-9659-E4899EFA3EF3}" name="Rate"/>
    <tableColumn id="9" xr3:uid="{AC01088E-CD46-4999-B5B7-14E5EB223CD1}" name="Trend"/>
    <tableColumn id="10" xr3:uid="{DC9073E6-0146-4C58-9CD9-9A6A273D164B}" name="Condition"/>
    <tableColumn id="11" xr3:uid="{D23B0376-D089-4F12-A7EF-926418E4856E}" name="Market Check"/>
    <tableColumn id="12" xr3:uid="{B28AF0E0-ACBD-4DD6-B43A-493D329F385F}" name="Sort Ord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F2FE1B-FF57-4837-95EB-8A8C698D531E}" name="PBI_Summary" displayName="PBI_Summary" ref="A1:B2" totalsRowShown="0">
  <autoFilter ref="A1:B2" xr:uid="{2CF2FE1B-FF57-4837-95EB-8A8C698D531E}"/>
  <tableColumns count="2">
    <tableColumn id="1" xr3:uid="{9A42105E-0FB4-4C87-A2FC-934201A9B74F}" name="Summary Type"/>
    <tableColumn id="2" xr3:uid="{AF845501-A171-4370-A60D-DF19561DB6E4}" name="Summary Text">
      <calculatedColumnFormula>'Macro Dashboard'!$D$13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1E8B614-21E8-49C9-8F6A-F45F829E1615}">
  <we:reference id="wa200003692" version="1.0.0.2" store="en-US" storeType="OMEX"/>
  <we:alternateReferences>
    <we:reference id="wa200003692" version="1.0.0.2" store="WA20000369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federalreserve.gov/monetarypolicy/review-of-monetary-policy-strategy-tools-and-communications-2025.htm" TargetMode="External"/><Relationship Id="rId3" Type="http://schemas.openxmlformats.org/officeDocument/2006/relationships/hyperlink" Target="https://www.ismworld.org/supply-management-news-and-reports/reports/ism-pmi-reports/" TargetMode="External"/><Relationship Id="rId7" Type="http://schemas.openxmlformats.org/officeDocument/2006/relationships/hyperlink" Target="https://www.bea.gov/data/personal-consumption-expenditures-price-index" TargetMode="External"/><Relationship Id="rId2" Type="http://schemas.openxmlformats.org/officeDocument/2006/relationships/hyperlink" Target="https://www.ismworld.org/supply-management-news-and-reports/reports/ism-pmi-reports/" TargetMode="External"/><Relationship Id="rId1" Type="http://schemas.openxmlformats.org/officeDocument/2006/relationships/hyperlink" Target="https://www.bea.gov/data/gdp/gross-domestic-product" TargetMode="External"/><Relationship Id="rId6" Type="http://schemas.openxmlformats.org/officeDocument/2006/relationships/hyperlink" Target="https://www.bls.gov/cpi/" TargetMode="External"/><Relationship Id="rId5" Type="http://schemas.openxmlformats.org/officeDocument/2006/relationships/hyperlink" Target="https://www.bls.gov/news.release/empsit.htm" TargetMode="External"/><Relationship Id="rId10" Type="http://schemas.openxmlformats.org/officeDocument/2006/relationships/hyperlink" Target="https://fred.stlouisfed.org/categories/32348" TargetMode="External"/><Relationship Id="rId4" Type="http://schemas.openxmlformats.org/officeDocument/2006/relationships/hyperlink" Target="https://www.federalreserve.gov/releases/g17/current/default.htm?utm_source" TargetMode="External"/><Relationship Id="rId9" Type="http://schemas.openxmlformats.org/officeDocument/2006/relationships/hyperlink" Target="https://fred.stlouisfed.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E2F86-8281-4CE1-AF52-38866D00CBF1}">
  <sheetPr codeName="Sheet1"/>
  <dimension ref="A1:Y46"/>
  <sheetViews>
    <sheetView tabSelected="1" workbookViewId="0">
      <selection sqref="A1:G1"/>
    </sheetView>
  </sheetViews>
  <sheetFormatPr defaultRowHeight="15" x14ac:dyDescent="0.25"/>
  <cols>
    <col min="1" max="1" width="26.42578125" customWidth="1"/>
    <col min="5" max="5" width="14.85546875" customWidth="1"/>
    <col min="6" max="6" width="13.140625" customWidth="1"/>
    <col min="9" max="9" width="24.140625" customWidth="1"/>
    <col min="12" max="12" width="13.140625" customWidth="1"/>
    <col min="17" max="17" width="25.140625" customWidth="1"/>
    <col min="19" max="19" width="17.7109375" customWidth="1"/>
    <col min="21" max="21" width="26.7109375" customWidth="1"/>
    <col min="23" max="23" width="23.7109375" customWidth="1"/>
    <col min="25" max="25" width="13.140625" customWidth="1"/>
  </cols>
  <sheetData>
    <row r="1" spans="1:25" x14ac:dyDescent="0.25">
      <c r="A1" s="18" t="s">
        <v>0</v>
      </c>
      <c r="B1" s="18"/>
      <c r="C1" s="18"/>
      <c r="D1" s="18"/>
      <c r="E1" s="18"/>
      <c r="F1" s="18"/>
      <c r="G1" s="18"/>
      <c r="I1" s="18" t="s">
        <v>12</v>
      </c>
      <c r="J1" s="18"/>
      <c r="K1" s="18"/>
      <c r="L1" s="18"/>
      <c r="N1" s="18" t="s">
        <v>17</v>
      </c>
      <c r="O1" s="18"/>
      <c r="P1" s="18"/>
      <c r="Q1" s="18"/>
      <c r="S1" s="18" t="s">
        <v>23</v>
      </c>
      <c r="T1" s="18"/>
      <c r="U1" s="18"/>
      <c r="W1" s="18" t="s">
        <v>29</v>
      </c>
      <c r="X1" s="18"/>
      <c r="Y1" s="18"/>
    </row>
    <row r="2" spans="1:25" ht="15.75" thickBot="1" x14ac:dyDescent="0.3">
      <c r="A2" s="4" t="s">
        <v>7</v>
      </c>
      <c r="B2" s="4" t="s">
        <v>1</v>
      </c>
      <c r="C2" s="4" t="s">
        <v>2</v>
      </c>
      <c r="D2" s="4" t="s">
        <v>3</v>
      </c>
      <c r="E2" s="4" t="s">
        <v>4</v>
      </c>
      <c r="F2" s="4" t="s">
        <v>5</v>
      </c>
      <c r="G2" s="4" t="s">
        <v>6</v>
      </c>
      <c r="I2" s="4" t="s">
        <v>7</v>
      </c>
      <c r="J2" s="4" t="s">
        <v>1</v>
      </c>
      <c r="K2" s="4" t="s">
        <v>2</v>
      </c>
      <c r="L2" s="4" t="s">
        <v>3</v>
      </c>
      <c r="N2" s="4" t="s">
        <v>7</v>
      </c>
      <c r="O2" s="4" t="s">
        <v>1</v>
      </c>
      <c r="P2" s="4" t="s">
        <v>2</v>
      </c>
      <c r="Q2" s="4" t="s">
        <v>22</v>
      </c>
      <c r="S2" s="4" t="s">
        <v>7</v>
      </c>
      <c r="T2" s="4" t="s">
        <v>1</v>
      </c>
      <c r="U2" s="4" t="s">
        <v>24</v>
      </c>
      <c r="W2" s="4" t="s">
        <v>7</v>
      </c>
      <c r="X2" s="4" t="s">
        <v>1</v>
      </c>
      <c r="Y2" s="4" t="s">
        <v>24</v>
      </c>
    </row>
    <row r="3" spans="1:25" x14ac:dyDescent="0.25">
      <c r="A3" t="s">
        <v>57</v>
      </c>
      <c r="B3" s="1">
        <v>1.6E-2</v>
      </c>
      <c r="C3" s="1">
        <v>5.0000000000000001E-3</v>
      </c>
      <c r="D3" s="3">
        <f>B3-C3</f>
        <v>1.0999999999999999E-2</v>
      </c>
      <c r="E3" t="str">
        <f>IF(B3&gt;0,"Growing",IF($B$3&lt;0,"Contracting","Flat"))</f>
        <v>Growing</v>
      </c>
      <c r="F3" t="str">
        <f>IF(AND($B$3&gt;0,$C$3&lt;0),"Recovery",IF(AND($B$3&lt;0,$C$3&gt;0),"Contraction",IF($B$3&gt;$C$3,"Accelerating",IF($B$3&lt;$C$3,"Decelerating","Stable"))))</f>
        <v>Accelerating</v>
      </c>
      <c r="G3" t="s">
        <v>58</v>
      </c>
      <c r="I3" t="s">
        <v>13</v>
      </c>
      <c r="J3" s="8">
        <v>115000</v>
      </c>
      <c r="K3" s="8">
        <v>185000</v>
      </c>
      <c r="L3" s="7">
        <f>($J$3-$K$3)/$K$3</f>
        <v>-0.3783783783783784</v>
      </c>
      <c r="N3" t="s">
        <v>18</v>
      </c>
      <c r="O3" s="1">
        <v>3.7999999999999999E-2</v>
      </c>
      <c r="P3" s="1">
        <v>3.3000000000000002E-2</v>
      </c>
      <c r="Q3" s="1">
        <v>0.02</v>
      </c>
      <c r="S3" t="s">
        <v>25</v>
      </c>
      <c r="T3" s="1">
        <v>3.6299999999999999E-2</v>
      </c>
      <c r="U3" s="5" t="str">
        <f>IF($T$3&lt;0.01,"Accommodative",IF($T$3&lt;0.033,"Neutral","Restrictive"))</f>
        <v>Restrictive</v>
      </c>
      <c r="W3" t="s">
        <v>30</v>
      </c>
      <c r="X3" s="1">
        <v>2.7099999999999999E-2</v>
      </c>
      <c r="Y3" t="str">
        <f>IF($X$3&lt;0.03,"Loose",IF($X$3&lt;0.05,"Normal",IF($X$3&lt;0.08,"Tight","Stress")))</f>
        <v>Loose</v>
      </c>
    </row>
    <row r="4" spans="1:25" x14ac:dyDescent="0.25">
      <c r="A4" t="s">
        <v>8</v>
      </c>
      <c r="B4" s="1">
        <v>0.54</v>
      </c>
      <c r="C4" s="1">
        <v>0.52700000000000002</v>
      </c>
      <c r="D4" s="7">
        <f>B4-C4</f>
        <v>1.3000000000000012E-2</v>
      </c>
      <c r="E4" t="str">
        <f>IF($B$4&gt;=50%,"Growing","Contracting")</f>
        <v>Growing</v>
      </c>
      <c r="F4" t="s">
        <v>10</v>
      </c>
      <c r="G4" t="s">
        <v>59</v>
      </c>
      <c r="I4" t="s">
        <v>14</v>
      </c>
      <c r="J4" s="1">
        <v>4.2999999999999997E-2</v>
      </c>
      <c r="K4" s="1">
        <v>4.2999999999999997E-2</v>
      </c>
      <c r="L4" s="9">
        <f>($J$4-$K$4)/$K$4</f>
        <v>0</v>
      </c>
      <c r="N4" t="s">
        <v>19</v>
      </c>
      <c r="O4" s="1">
        <v>2.8000000000000001E-2</v>
      </c>
      <c r="P4" s="1">
        <v>2.5999999999999999E-2</v>
      </c>
      <c r="Q4" s="1">
        <v>0.02</v>
      </c>
      <c r="S4" t="s">
        <v>26</v>
      </c>
      <c r="T4" s="1">
        <v>0.04</v>
      </c>
      <c r="U4" s="5" t="str">
        <f>IF($T$4&lt;0.02,"Low",IF($T$4&lt;=0.04,"Moderate","Elevated"))</f>
        <v>Moderate</v>
      </c>
      <c r="W4" t="s">
        <v>31</v>
      </c>
      <c r="X4" s="1">
        <v>7.4000000000000003E-3</v>
      </c>
      <c r="Y4" t="str">
        <f>IF($X$4&lt;0.01,"Loose",IF($X$4&lt;0.02,"Normal","Tight"))</f>
        <v>Loose</v>
      </c>
    </row>
    <row r="5" spans="1:25" x14ac:dyDescent="0.25">
      <c r="A5" t="s">
        <v>9</v>
      </c>
      <c r="B5" s="1">
        <v>0.54500000000000004</v>
      </c>
      <c r="C5" s="1">
        <v>0.53600000000000003</v>
      </c>
      <c r="D5" s="7">
        <f>B5-C5</f>
        <v>9.000000000000008E-3</v>
      </c>
      <c r="E5" t="str">
        <f>IF($B$5&gt;=50%,"Growing","Contracting")</f>
        <v>Growing</v>
      </c>
      <c r="F5" t="s">
        <v>10</v>
      </c>
      <c r="G5" t="s">
        <v>60</v>
      </c>
      <c r="I5" t="s">
        <v>15</v>
      </c>
      <c r="J5" s="1">
        <v>0.61799999999999999</v>
      </c>
      <c r="K5" s="1">
        <v>0.61899999999999999</v>
      </c>
      <c r="L5" s="7">
        <f>($J$5-$K$5)/$K$5</f>
        <v>-1.6155088852988705E-3</v>
      </c>
      <c r="N5" t="s">
        <v>20</v>
      </c>
      <c r="O5" s="1">
        <v>3.7999999999999999E-2</v>
      </c>
      <c r="P5" s="1">
        <v>3.5000000000000003E-2</v>
      </c>
      <c r="Q5" s="1">
        <v>0.02</v>
      </c>
      <c r="S5" t="s">
        <v>27</v>
      </c>
      <c r="T5" s="1">
        <v>4.48E-2</v>
      </c>
      <c r="U5" s="5" t="str">
        <f>IF($T$5&lt;0.03,"Low",IF($T$5&lt;=0.04,"Moderate","Elevated"))</f>
        <v>Elevated</v>
      </c>
    </row>
    <row r="6" spans="1:25" x14ac:dyDescent="0.25">
      <c r="A6" t="s">
        <v>54</v>
      </c>
      <c r="B6" s="2">
        <v>102.5</v>
      </c>
      <c r="C6" s="2">
        <v>101.8</v>
      </c>
      <c r="D6" s="12">
        <f t="shared" ref="D6" si="0">B6-C6</f>
        <v>0.70000000000000284</v>
      </c>
      <c r="E6" t="str">
        <f>IF($B$6&gt;=100,"Growing","Contracting")</f>
        <v>Growing</v>
      </c>
      <c r="F6" t="str">
        <f>IF($B$6&gt;=100,IF($B$6&gt;$C$6,"Accelerating",IF($B$6&lt;$C$6,"Decelerating","Stable")),IF($B$6&gt;$C$6,"Recovering",IF($B$6&lt;$C$6,"Decelerating","Stable")))</f>
        <v>Accelerating</v>
      </c>
      <c r="G6" t="s">
        <v>61</v>
      </c>
      <c r="I6" t="s">
        <v>16</v>
      </c>
      <c r="J6" s="6">
        <v>37.409999999999997</v>
      </c>
      <c r="K6" s="6">
        <v>37.35</v>
      </c>
      <c r="L6" s="16">
        <f>($J$6-$K$6)</f>
        <v>5.9999999999995168E-2</v>
      </c>
      <c r="N6" t="s">
        <v>21</v>
      </c>
      <c r="O6" s="1">
        <v>3.3000000000000002E-2</v>
      </c>
      <c r="P6" s="1">
        <v>3.2000000000000001E-2</v>
      </c>
      <c r="Q6" s="1">
        <v>0.02</v>
      </c>
      <c r="S6" t="s">
        <v>28</v>
      </c>
      <c r="T6" s="3">
        <f>$T$5-$T$4</f>
        <v>4.7999999999999987E-3</v>
      </c>
      <c r="U6" s="5" t="str">
        <f>IF($T$6&lt;-0.005,"Inverted",IF($T$6&lt;0,"Flat",IF($T$6&lt;0.01,"Normal","Steep")))</f>
        <v>Normal</v>
      </c>
    </row>
    <row r="7" spans="1:25" ht="15.75" thickBot="1" x14ac:dyDescent="0.3"/>
    <row r="8" spans="1:25" ht="30.75" thickBot="1" x14ac:dyDescent="0.45">
      <c r="A8" s="19" t="s">
        <v>11</v>
      </c>
      <c r="B8" s="19"/>
      <c r="C8" s="19"/>
      <c r="D8" s="19"/>
      <c r="E8" s="19"/>
      <c r="F8" s="19"/>
      <c r="G8" s="19"/>
      <c r="I8" s="19" t="s">
        <v>11</v>
      </c>
      <c r="J8" s="19"/>
      <c r="K8" s="19"/>
      <c r="L8" s="19"/>
      <c r="N8" s="19" t="s">
        <v>11</v>
      </c>
      <c r="O8" s="19"/>
      <c r="P8" s="19"/>
      <c r="Q8" s="19"/>
      <c r="S8" s="19" t="s">
        <v>11</v>
      </c>
      <c r="T8" s="19"/>
      <c r="U8" s="19"/>
      <c r="W8" s="19" t="s">
        <v>11</v>
      </c>
      <c r="X8" s="19"/>
      <c r="Y8" s="19"/>
    </row>
    <row r="9" spans="1:25" ht="15.75" thickBot="1" x14ac:dyDescent="0.3"/>
    <row r="10" spans="1:25" ht="30.75" thickBot="1" x14ac:dyDescent="0.45">
      <c r="A10" s="20" t="str">
        <f>IF(COUNTIF($E$3:$E$6,"Contracting")&gt;=2,"Recession Risk",IF(COUNTIF($F$3:$F$6,"Slower")&gt;=3,"Slowing",IF(COUNTIF($E$3:$E$6,"Growing")&gt;=3,"Expansion","Mixed")))</f>
        <v>Expansion</v>
      </c>
      <c r="B10" s="21"/>
      <c r="C10" s="21"/>
      <c r="D10" s="21"/>
      <c r="E10" s="21"/>
      <c r="F10" s="21"/>
      <c r="G10" s="22"/>
      <c r="I10" s="20" t="str">
        <f>_xlfn.LET(_xlpm.condition,IF(OR($J$3&lt;0,$J$4&gt;0.06),"Recessionary ",IF(AND($J$3&gt;150000,$J$4&lt;0.04),"Strong",IF(AND($J$3&gt;50000,$J$4&lt;0.05),"Healthy ","Weak"))),_xlpm.Good,COUNTIF($L$3,"&gt;0")+COUNTIF($L$4,"&lt;0")+COUNTIF($L$5,"&gt;0")+COUNTIF($L$6,"&gt;0"),_xlpm.Bad,COUNTIF($L$3,"&lt;0")+COUNTIF($L$4,"&gt;0")+COUNTIF($L$5,"&lt;0")+COUNTIF($L$6,"&lt;0"),_xlpm.Momentum,IF(_xlpm.Good&gt;_xlpm.Bad,"Improving",IF(_xlpm.Bad&gt;_xlpm.Good,"Slowing","Mixed")),_xlpm.condition&amp;IF(_xlpm.Momentum="Improving","and Improving",IF(_xlpm.Momentum="Slowing","but Slowing","and Mixed")))</f>
        <v>Healthy but Slowing</v>
      </c>
      <c r="J10" s="21"/>
      <c r="K10" s="21"/>
      <c r="L10" s="22"/>
      <c r="N10" s="20" t="str">
        <f>_xlfn.LET(_xlpm.AVGcurrent,AVERAGE($O$3:$O$6),_xlpm.AVGprior,AVERAGE($P$3:$P$6),_xlpm.AVGtarget,AVERAGE($Q$3:$Q$6),_xlpm.condition,IF(_xlpm.AVGcurrent&lt;=_xlpm.AVGtarget,"At Target",IF(_xlpm.AVGcurrent&lt;=_xlpm.AVGtarget+0.01,"Elevated","High")),_xlpm.momentum,IF(_xlpm.AVGcurrent&lt;_xlpm.AVGprior,"Cooling",IF(_xlpm.AVGcurrent&gt;_xlpm.AVGprior,"Rising","Stable")),_xlpm.condition&amp;" and "&amp;_xlpm.momentum)</f>
        <v>High and Rising</v>
      </c>
      <c r="O10" s="21"/>
      <c r="P10" s="21"/>
      <c r="Q10" s="22"/>
      <c r="S10" s="20" t="str">
        <f>_xlfn.LET(_xlpm.condition,IF($U$6="Inverted","Recessionary",IF($U$6="Flat","Cautious",IF($U$3="Restrictive","Restrictive",IF($U$3="Neutral","Balanced","Supportive")))),_xlpm.momentum,IF(AND($U$4="Elevated",$U$5="Elevated"),"Tightening",IF(AND($U$4="Moderate",$U$5="Elevated"),"Stable","Easing")),_xlpm.condition&amp;IF(_xlpm.momentum="Stable"," and Stable",IF(_xlpm.momentum="Easing"," and Easing"," and Tigtening")))</f>
        <v>Restrictive and Stable</v>
      </c>
      <c r="T10" s="21"/>
      <c r="U10" s="22"/>
      <c r="W10" s="20" t="str">
        <f>IF(AND($Y$3="Loose",$Y$4="Loose"),"Loose and Stable",IF(OR($Y$3="Stress",$Y$4="Stress"),"Stress and Worsening",IF(OR($Y$3="Tight",$Y$4="Tight"),"Tight and Stable","Normal and Stable")))</f>
        <v>Loose and Stable</v>
      </c>
      <c r="X10" s="21"/>
      <c r="Y10" s="22"/>
    </row>
    <row r="12" spans="1:25" ht="15.75" thickBot="1" x14ac:dyDescent="0.3"/>
    <row r="13" spans="1:25" ht="15" customHeight="1" x14ac:dyDescent="0.25">
      <c r="D13" s="23" t="s">
        <v>62</v>
      </c>
      <c r="E13" s="24"/>
      <c r="F13" s="24"/>
      <c r="G13" s="24"/>
      <c r="H13" s="24"/>
      <c r="I13" s="24"/>
      <c r="J13" s="24"/>
      <c r="K13" s="24"/>
      <c r="L13" s="24"/>
      <c r="M13" s="24"/>
      <c r="N13" s="24"/>
      <c r="O13" s="25"/>
      <c r="P13" s="13"/>
      <c r="Q13" s="13"/>
    </row>
    <row r="14" spans="1:25" x14ac:dyDescent="0.25">
      <c r="D14" s="26"/>
      <c r="E14" s="27"/>
      <c r="F14" s="27"/>
      <c r="G14" s="27"/>
      <c r="H14" s="27"/>
      <c r="I14" s="27"/>
      <c r="J14" s="27"/>
      <c r="K14" s="27"/>
      <c r="L14" s="27"/>
      <c r="M14" s="27"/>
      <c r="N14" s="27"/>
      <c r="O14" s="28"/>
      <c r="P14" s="13"/>
      <c r="Q14" s="13"/>
    </row>
    <row r="15" spans="1:25" x14ac:dyDescent="0.25">
      <c r="D15" s="26"/>
      <c r="E15" s="27"/>
      <c r="F15" s="27"/>
      <c r="G15" s="27"/>
      <c r="H15" s="27"/>
      <c r="I15" s="27"/>
      <c r="J15" s="27"/>
      <c r="K15" s="27"/>
      <c r="L15" s="27"/>
      <c r="M15" s="27"/>
      <c r="N15" s="27"/>
      <c r="O15" s="28"/>
      <c r="P15" s="13"/>
      <c r="Q15" s="13"/>
    </row>
    <row r="16" spans="1:25" x14ac:dyDescent="0.25">
      <c r="D16" s="26"/>
      <c r="E16" s="27"/>
      <c r="F16" s="27"/>
      <c r="G16" s="27"/>
      <c r="H16" s="27"/>
      <c r="I16" s="27"/>
      <c r="J16" s="27"/>
      <c r="K16" s="27"/>
      <c r="L16" s="27"/>
      <c r="M16" s="27"/>
      <c r="N16" s="27"/>
      <c r="O16" s="28"/>
      <c r="P16" s="13"/>
      <c r="Q16" s="13"/>
    </row>
    <row r="17" spans="4:17" x14ac:dyDescent="0.25">
      <c r="D17" s="26"/>
      <c r="E17" s="27"/>
      <c r="F17" s="27"/>
      <c r="G17" s="27"/>
      <c r="H17" s="27"/>
      <c r="I17" s="27"/>
      <c r="J17" s="27"/>
      <c r="K17" s="27"/>
      <c r="L17" s="27"/>
      <c r="M17" s="27"/>
      <c r="N17" s="27"/>
      <c r="O17" s="28"/>
      <c r="P17" s="13"/>
      <c r="Q17" s="13"/>
    </row>
    <row r="18" spans="4:17" x14ac:dyDescent="0.25">
      <c r="D18" s="26"/>
      <c r="E18" s="27"/>
      <c r="F18" s="27"/>
      <c r="G18" s="27"/>
      <c r="H18" s="27"/>
      <c r="I18" s="27"/>
      <c r="J18" s="27"/>
      <c r="K18" s="27"/>
      <c r="L18" s="27"/>
      <c r="M18" s="27"/>
      <c r="N18" s="27"/>
      <c r="O18" s="28"/>
      <c r="P18" s="13"/>
      <c r="Q18" s="13"/>
    </row>
    <row r="19" spans="4:17" x14ac:dyDescent="0.25">
      <c r="D19" s="26"/>
      <c r="E19" s="27"/>
      <c r="F19" s="27"/>
      <c r="G19" s="27"/>
      <c r="H19" s="27"/>
      <c r="I19" s="27"/>
      <c r="J19" s="27"/>
      <c r="K19" s="27"/>
      <c r="L19" s="27"/>
      <c r="M19" s="27"/>
      <c r="N19" s="27"/>
      <c r="O19" s="28"/>
      <c r="P19" s="13"/>
      <c r="Q19" s="13"/>
    </row>
    <row r="20" spans="4:17" x14ac:dyDescent="0.25">
      <c r="D20" s="26"/>
      <c r="E20" s="27"/>
      <c r="F20" s="27"/>
      <c r="G20" s="27"/>
      <c r="H20" s="27"/>
      <c r="I20" s="27"/>
      <c r="J20" s="27"/>
      <c r="K20" s="27"/>
      <c r="L20" s="27"/>
      <c r="M20" s="27"/>
      <c r="N20" s="27"/>
      <c r="O20" s="28"/>
      <c r="P20" s="13"/>
      <c r="Q20" s="13"/>
    </row>
    <row r="21" spans="4:17" x14ac:dyDescent="0.25">
      <c r="D21" s="26"/>
      <c r="E21" s="27"/>
      <c r="F21" s="27"/>
      <c r="G21" s="27"/>
      <c r="H21" s="27"/>
      <c r="I21" s="27"/>
      <c r="J21" s="27"/>
      <c r="K21" s="27"/>
      <c r="L21" s="27"/>
      <c r="M21" s="27"/>
      <c r="N21" s="27"/>
      <c r="O21" s="28"/>
      <c r="P21" s="13"/>
      <c r="Q21" s="13"/>
    </row>
    <row r="22" spans="4:17" x14ac:dyDescent="0.25">
      <c r="D22" s="26"/>
      <c r="E22" s="27"/>
      <c r="F22" s="27"/>
      <c r="G22" s="27"/>
      <c r="H22" s="27"/>
      <c r="I22" s="27"/>
      <c r="J22" s="27"/>
      <c r="K22" s="27"/>
      <c r="L22" s="27"/>
      <c r="M22" s="27"/>
      <c r="N22" s="27"/>
      <c r="O22" s="28"/>
      <c r="P22" s="13"/>
      <c r="Q22" s="13"/>
    </row>
    <row r="23" spans="4:17" x14ac:dyDescent="0.25">
      <c r="D23" s="26"/>
      <c r="E23" s="27"/>
      <c r="F23" s="27"/>
      <c r="G23" s="27"/>
      <c r="H23" s="27"/>
      <c r="I23" s="27"/>
      <c r="J23" s="27"/>
      <c r="K23" s="27"/>
      <c r="L23" s="27"/>
      <c r="M23" s="27"/>
      <c r="N23" s="27"/>
      <c r="O23" s="28"/>
      <c r="P23" s="13"/>
      <c r="Q23" s="13"/>
    </row>
    <row r="24" spans="4:17" x14ac:dyDescent="0.25">
      <c r="D24" s="26"/>
      <c r="E24" s="27"/>
      <c r="F24" s="27"/>
      <c r="G24" s="27"/>
      <c r="H24" s="27"/>
      <c r="I24" s="27"/>
      <c r="J24" s="27"/>
      <c r="K24" s="27"/>
      <c r="L24" s="27"/>
      <c r="M24" s="27"/>
      <c r="N24" s="27"/>
      <c r="O24" s="28"/>
      <c r="P24" s="13"/>
      <c r="Q24" s="13"/>
    </row>
    <row r="25" spans="4:17" x14ac:dyDescent="0.25">
      <c r="D25" s="26"/>
      <c r="E25" s="27"/>
      <c r="F25" s="27"/>
      <c r="G25" s="27"/>
      <c r="H25" s="27"/>
      <c r="I25" s="27"/>
      <c r="J25" s="27"/>
      <c r="K25" s="27"/>
      <c r="L25" s="27"/>
      <c r="M25" s="27"/>
      <c r="N25" s="27"/>
      <c r="O25" s="28"/>
      <c r="P25" s="13"/>
      <c r="Q25" s="13"/>
    </row>
    <row r="26" spans="4:17" x14ac:dyDescent="0.25">
      <c r="D26" s="26"/>
      <c r="E26" s="27"/>
      <c r="F26" s="27"/>
      <c r="G26" s="27"/>
      <c r="H26" s="27"/>
      <c r="I26" s="27"/>
      <c r="J26" s="27"/>
      <c r="K26" s="27"/>
      <c r="L26" s="27"/>
      <c r="M26" s="27"/>
      <c r="N26" s="27"/>
      <c r="O26" s="28"/>
      <c r="P26" s="13"/>
      <c r="Q26" s="13"/>
    </row>
    <row r="27" spans="4:17" x14ac:dyDescent="0.25">
      <c r="D27" s="26"/>
      <c r="E27" s="27"/>
      <c r="F27" s="27"/>
      <c r="G27" s="27"/>
      <c r="H27" s="27"/>
      <c r="I27" s="27"/>
      <c r="J27" s="27"/>
      <c r="K27" s="27"/>
      <c r="L27" s="27"/>
      <c r="M27" s="27"/>
      <c r="N27" s="27"/>
      <c r="O27" s="28"/>
      <c r="P27" s="13"/>
      <c r="Q27" s="13"/>
    </row>
    <row r="28" spans="4:17" x14ac:dyDescent="0.25">
      <c r="D28" s="26"/>
      <c r="E28" s="27"/>
      <c r="F28" s="27"/>
      <c r="G28" s="27"/>
      <c r="H28" s="27"/>
      <c r="I28" s="27"/>
      <c r="J28" s="27"/>
      <c r="K28" s="27"/>
      <c r="L28" s="27"/>
      <c r="M28" s="27"/>
      <c r="N28" s="27"/>
      <c r="O28" s="28"/>
      <c r="P28" s="13"/>
      <c r="Q28" s="13"/>
    </row>
    <row r="29" spans="4:17" ht="15.75" thickBot="1" x14ac:dyDescent="0.3">
      <c r="D29" s="29"/>
      <c r="E29" s="30"/>
      <c r="F29" s="30"/>
      <c r="G29" s="30"/>
      <c r="H29" s="30"/>
      <c r="I29" s="30"/>
      <c r="J29" s="30"/>
      <c r="K29" s="30"/>
      <c r="L29" s="30"/>
      <c r="M29" s="30"/>
      <c r="N29" s="30"/>
      <c r="O29" s="31"/>
      <c r="P29" s="13"/>
      <c r="Q29" s="13"/>
    </row>
    <row r="30" spans="4:17" x14ac:dyDescent="0.25">
      <c r="D30" s="13"/>
      <c r="E30" s="13"/>
      <c r="F30" s="13"/>
      <c r="G30" s="13"/>
      <c r="H30" s="13"/>
      <c r="I30" s="13"/>
      <c r="J30" s="13"/>
      <c r="K30" s="13"/>
      <c r="L30" s="13"/>
      <c r="M30" s="13"/>
      <c r="N30" s="13"/>
      <c r="O30" s="13"/>
      <c r="P30" s="13"/>
      <c r="Q30" s="13"/>
    </row>
    <row r="31" spans="4:17" x14ac:dyDescent="0.25">
      <c r="D31" s="13"/>
      <c r="E31" s="13"/>
      <c r="F31" s="13"/>
      <c r="G31" s="13"/>
      <c r="H31" s="13"/>
      <c r="I31" s="13"/>
      <c r="J31" s="13"/>
      <c r="K31" s="13"/>
      <c r="L31" s="13"/>
      <c r="M31" s="13"/>
      <c r="N31" s="13"/>
      <c r="O31" s="13"/>
      <c r="P31" s="13"/>
      <c r="Q31" s="13"/>
    </row>
    <row r="32" spans="4:17" x14ac:dyDescent="0.25">
      <c r="D32" s="13"/>
      <c r="E32" s="13"/>
      <c r="F32" s="13"/>
      <c r="G32" s="13"/>
      <c r="H32" s="13"/>
      <c r="I32" s="13"/>
      <c r="J32" s="13"/>
      <c r="K32" s="13"/>
      <c r="L32" s="13"/>
      <c r="M32" s="13"/>
      <c r="N32" s="13"/>
      <c r="O32" s="13"/>
      <c r="P32" s="13"/>
      <c r="Q32" s="13"/>
    </row>
    <row r="33" spans="4:17" x14ac:dyDescent="0.25">
      <c r="D33" s="13"/>
      <c r="E33" s="13"/>
      <c r="F33" s="13"/>
      <c r="G33" s="13"/>
      <c r="H33" s="13"/>
      <c r="I33" s="13"/>
      <c r="J33" s="13"/>
      <c r="K33" s="13"/>
      <c r="L33" s="13"/>
      <c r="M33" s="13"/>
      <c r="N33" s="13"/>
      <c r="O33" s="13"/>
      <c r="P33" s="13"/>
      <c r="Q33" s="13"/>
    </row>
    <row r="34" spans="4:17" x14ac:dyDescent="0.25">
      <c r="D34" s="13"/>
      <c r="E34" s="13"/>
      <c r="F34" s="13"/>
      <c r="G34" s="13"/>
      <c r="H34" s="13"/>
      <c r="I34" s="13"/>
      <c r="J34" s="13"/>
      <c r="K34" s="13"/>
      <c r="L34" s="13"/>
      <c r="M34" s="13"/>
      <c r="N34" s="13"/>
      <c r="O34" s="13"/>
      <c r="P34" s="13"/>
      <c r="Q34" s="13"/>
    </row>
    <row r="35" spans="4:17" x14ac:dyDescent="0.25">
      <c r="D35" s="13"/>
      <c r="E35" s="13"/>
      <c r="F35" s="13"/>
      <c r="G35" s="13"/>
      <c r="H35" s="13"/>
      <c r="I35" s="13"/>
      <c r="J35" s="13"/>
      <c r="K35" s="13"/>
      <c r="L35" s="13"/>
      <c r="M35" s="13"/>
      <c r="N35" s="13"/>
      <c r="O35" s="13"/>
      <c r="P35" s="13"/>
      <c r="Q35" s="13"/>
    </row>
    <row r="36" spans="4:17" x14ac:dyDescent="0.25">
      <c r="D36" s="13"/>
      <c r="E36" s="13"/>
      <c r="F36" s="13"/>
      <c r="G36" s="13"/>
      <c r="H36" s="13"/>
      <c r="I36" s="13"/>
      <c r="J36" s="13"/>
      <c r="K36" s="13"/>
      <c r="L36" s="13"/>
      <c r="M36" s="13"/>
      <c r="N36" s="13"/>
      <c r="O36" s="13"/>
      <c r="P36" s="13"/>
      <c r="Q36" s="13"/>
    </row>
    <row r="37" spans="4:17" x14ac:dyDescent="0.25">
      <c r="D37" s="13"/>
      <c r="E37" s="13"/>
      <c r="F37" s="13"/>
      <c r="G37" s="13"/>
      <c r="H37" s="13"/>
      <c r="I37" s="13"/>
      <c r="J37" s="13"/>
      <c r="K37" s="13"/>
      <c r="L37" s="13"/>
      <c r="M37" s="13"/>
      <c r="N37" s="13"/>
      <c r="O37" s="13"/>
      <c r="P37" s="13"/>
      <c r="Q37" s="13"/>
    </row>
    <row r="38" spans="4:17" x14ac:dyDescent="0.25">
      <c r="D38" s="13"/>
      <c r="E38" s="13"/>
      <c r="F38" s="13"/>
      <c r="G38" s="13"/>
      <c r="H38" s="13"/>
      <c r="I38" s="13"/>
      <c r="J38" s="13"/>
      <c r="K38" s="13"/>
      <c r="L38" s="13"/>
      <c r="M38" s="13"/>
      <c r="N38" s="13"/>
      <c r="O38" s="13"/>
      <c r="P38" s="13"/>
      <c r="Q38" s="13"/>
    </row>
    <row r="39" spans="4:17" x14ac:dyDescent="0.25">
      <c r="D39" s="13"/>
      <c r="E39" s="13"/>
      <c r="F39" s="13"/>
      <c r="G39" s="13"/>
      <c r="H39" s="13"/>
      <c r="I39" s="13"/>
      <c r="J39" s="13"/>
      <c r="K39" s="13"/>
      <c r="L39" s="13"/>
      <c r="M39" s="13"/>
      <c r="N39" s="13"/>
      <c r="O39" s="13"/>
      <c r="P39" s="13"/>
      <c r="Q39" s="13"/>
    </row>
    <row r="40" spans="4:17" x14ac:dyDescent="0.25">
      <c r="D40" s="13"/>
      <c r="E40" s="13"/>
      <c r="F40" s="13"/>
      <c r="G40" s="13"/>
      <c r="H40" s="13"/>
      <c r="I40" s="13"/>
      <c r="J40" s="13"/>
      <c r="K40" s="13"/>
      <c r="L40" s="13"/>
      <c r="M40" s="13"/>
      <c r="N40" s="13"/>
      <c r="O40" s="13"/>
      <c r="P40" s="13"/>
      <c r="Q40" s="13"/>
    </row>
    <row r="41" spans="4:17" x14ac:dyDescent="0.25">
      <c r="D41" s="13"/>
      <c r="E41" s="13"/>
      <c r="F41" s="13"/>
      <c r="G41" s="13"/>
      <c r="H41" s="13"/>
      <c r="I41" s="13"/>
      <c r="J41" s="13"/>
      <c r="K41" s="13"/>
      <c r="L41" s="13"/>
      <c r="M41" s="13"/>
      <c r="N41" s="13"/>
      <c r="O41" s="13"/>
      <c r="P41" s="13"/>
      <c r="Q41" s="13"/>
    </row>
    <row r="42" spans="4:17" x14ac:dyDescent="0.25">
      <c r="D42" s="13"/>
      <c r="E42" s="13"/>
      <c r="F42" s="13"/>
      <c r="G42" s="13"/>
      <c r="H42" s="13"/>
      <c r="I42" s="13"/>
      <c r="J42" s="13"/>
      <c r="K42" s="13"/>
      <c r="L42" s="13"/>
      <c r="M42" s="13"/>
      <c r="N42" s="13"/>
      <c r="O42" s="13"/>
      <c r="P42" s="13"/>
      <c r="Q42" s="13"/>
    </row>
    <row r="43" spans="4:17" x14ac:dyDescent="0.25">
      <c r="D43" s="13"/>
      <c r="E43" s="13"/>
      <c r="F43" s="13"/>
      <c r="G43" s="13"/>
      <c r="H43" s="13"/>
      <c r="I43" s="13"/>
      <c r="J43" s="13"/>
      <c r="K43" s="13"/>
      <c r="L43" s="13"/>
      <c r="M43" s="13"/>
      <c r="N43" s="13"/>
      <c r="O43" s="13"/>
      <c r="P43" s="13"/>
      <c r="Q43" s="13"/>
    </row>
    <row r="44" spans="4:17" x14ac:dyDescent="0.25">
      <c r="D44" s="13"/>
      <c r="E44" s="13"/>
      <c r="F44" s="13"/>
      <c r="G44" s="13"/>
      <c r="H44" s="13"/>
      <c r="I44" s="13"/>
      <c r="J44" s="13"/>
      <c r="K44" s="13"/>
      <c r="L44" s="13"/>
      <c r="M44" s="13"/>
      <c r="N44" s="13"/>
      <c r="O44" s="13"/>
      <c r="P44" s="13"/>
      <c r="Q44" s="13"/>
    </row>
    <row r="45" spans="4:17" x14ac:dyDescent="0.25">
      <c r="D45" s="13"/>
      <c r="E45" s="13"/>
      <c r="F45" s="13"/>
      <c r="G45" s="13"/>
      <c r="H45" s="13"/>
      <c r="I45" s="13"/>
      <c r="J45" s="13"/>
      <c r="K45" s="13"/>
      <c r="L45" s="13"/>
      <c r="M45" s="13"/>
      <c r="N45" s="13"/>
      <c r="O45" s="13"/>
      <c r="P45" s="13"/>
      <c r="Q45" s="13"/>
    </row>
    <row r="46" spans="4:17" x14ac:dyDescent="0.25">
      <c r="D46" s="13"/>
      <c r="E46" s="13"/>
      <c r="F46" s="13"/>
      <c r="G46" s="13"/>
      <c r="H46" s="13"/>
      <c r="I46" s="13"/>
      <c r="J46" s="13"/>
      <c r="K46" s="13"/>
      <c r="L46" s="13"/>
      <c r="M46" s="13"/>
      <c r="N46" s="13"/>
      <c r="O46" s="13"/>
      <c r="P46" s="13"/>
      <c r="Q46" s="13"/>
    </row>
  </sheetData>
  <mergeCells count="16">
    <mergeCell ref="W1:Y1"/>
    <mergeCell ref="W8:Y8"/>
    <mergeCell ref="W10:Y10"/>
    <mergeCell ref="D13:O29"/>
    <mergeCell ref="N1:Q1"/>
    <mergeCell ref="N8:Q8"/>
    <mergeCell ref="N10:Q10"/>
    <mergeCell ref="S1:U1"/>
    <mergeCell ref="S8:U8"/>
    <mergeCell ref="S10:U10"/>
    <mergeCell ref="A1:G1"/>
    <mergeCell ref="A8:G8"/>
    <mergeCell ref="A10:G10"/>
    <mergeCell ref="I1:L1"/>
    <mergeCell ref="I8:L8"/>
    <mergeCell ref="I10:L10"/>
  </mergeCells>
  <conditionalFormatting sqref="A10:G10">
    <cfRule type="containsText" dxfId="20" priority="17" operator="containsText" text="Expansion">
      <formula>NOT(ISERROR(SEARCH("Expansion",A10)))</formula>
    </cfRule>
    <cfRule type="containsText" dxfId="19" priority="18" operator="containsText" text="Slowing">
      <formula>NOT(ISERROR(SEARCH("Slowing",A10)))</formula>
    </cfRule>
    <cfRule type="containsText" dxfId="18" priority="19" operator="containsText" text="Recession Risk">
      <formula>NOT(ISERROR(SEARCH("Recession Risk",A10)))</formula>
    </cfRule>
    <cfRule type="containsText" dxfId="17" priority="20" operator="containsText" text="Mixed">
      <formula>NOT(ISERROR(SEARCH("Mixed",A10)))</formula>
    </cfRule>
  </conditionalFormatting>
  <conditionalFormatting sqref="I10:L10">
    <cfRule type="containsText" dxfId="16" priority="13" operator="containsText" text="Strong">
      <formula>NOT(ISERROR(SEARCH("Strong",I10)))</formula>
    </cfRule>
    <cfRule type="containsText" dxfId="15" priority="14" operator="containsText" text="Healthy">
      <formula>NOT(ISERROR(SEARCH("Healthy",I10)))</formula>
    </cfRule>
    <cfRule type="containsText" dxfId="14" priority="15" operator="containsText" text="Weak">
      <formula>NOT(ISERROR(SEARCH("Weak",I10)))</formula>
    </cfRule>
    <cfRule type="containsText" dxfId="13" priority="16" operator="containsText" text="Recessionary">
      <formula>NOT(ISERROR(SEARCH("Recessionary",I10)))</formula>
    </cfRule>
  </conditionalFormatting>
  <conditionalFormatting sqref="N10:Q10">
    <cfRule type="containsText" dxfId="12" priority="10" operator="containsText" text="At Target">
      <formula>NOT(ISERROR(SEARCH("At Target",N10)))</formula>
    </cfRule>
    <cfRule type="containsText" dxfId="11" priority="11" operator="containsText" text="Elevated">
      <formula>NOT(ISERROR(SEARCH("Elevated",N10)))</formula>
    </cfRule>
    <cfRule type="containsText" dxfId="10" priority="12" operator="containsText" text="High">
      <formula>NOT(ISERROR(SEARCH("High",N10)))</formula>
    </cfRule>
  </conditionalFormatting>
  <conditionalFormatting sqref="S10:U10">
    <cfRule type="containsText" dxfId="9" priority="5" operator="containsText" text="Supportive">
      <formula>NOT(ISERROR(SEARCH("Supportive",S10)))</formula>
    </cfRule>
    <cfRule type="containsText" dxfId="8" priority="6" operator="containsText" text="Balanced">
      <formula>NOT(ISERROR(SEARCH("Balanced",S10)))</formula>
    </cfRule>
    <cfRule type="containsText" dxfId="7" priority="7" operator="containsText" text="Restrictive">
      <formula>NOT(ISERROR(SEARCH("Restrictive",S10)))</formula>
    </cfRule>
    <cfRule type="containsText" dxfId="6" priority="8" operator="containsText" text="Cautious">
      <formula>NOT(ISERROR(SEARCH("Cautious",S10)))</formula>
    </cfRule>
    <cfRule type="containsText" dxfId="5" priority="9" operator="containsText" text="Recessionary">
      <formula>NOT(ISERROR(SEARCH("Recessionary",S10)))</formula>
    </cfRule>
  </conditionalFormatting>
  <conditionalFormatting sqref="W10:Y10">
    <cfRule type="containsText" dxfId="4" priority="1" operator="containsText" text="Loose">
      <formula>NOT(ISERROR(SEARCH("Loose",W10)))</formula>
    </cfRule>
    <cfRule type="containsText" dxfId="3" priority="2" operator="containsText" text="Normal">
      <formula>NOT(ISERROR(SEARCH("Normal",W10)))</formula>
    </cfRule>
    <cfRule type="containsText" dxfId="2" priority="3" operator="containsText" text="Tight">
      <formula>NOT(ISERROR(SEARCH("Tight",W10)))</formula>
    </cfRule>
    <cfRule type="containsText" dxfId="1" priority="4" operator="containsText" text="Stress">
      <formula>NOT(ISERROR(SEARCH("Stress",W10)))</formula>
    </cfRule>
  </conditionalFormatting>
  <dataValidations count="1">
    <dataValidation type="list" allowBlank="1" showInputMessage="1" showErrorMessage="1" sqref="F4:F5" xr:uid="{9549CE23-0A74-4FD8-B927-4A3C37D886DA}">
      <formula1>"Faster,Slower,Same,From Contracting,From Growing"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GenerateMacroSummary">
                <anchor moveWithCells="1" sizeWithCells="1">
                  <from>
                    <xdr:col>0</xdr:col>
                    <xdr:colOff>1219200</xdr:colOff>
                    <xdr:row>11</xdr:row>
                    <xdr:rowOff>142875</xdr:rowOff>
                  </from>
                  <to>
                    <xdr:col>1</xdr:col>
                    <xdr:colOff>600075</xdr:colOff>
                    <xdr:row>14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76A15-7676-4DB6-99D4-AF5308727322}">
  <sheetPr codeName="Sheet3"/>
  <dimension ref="A1:L19"/>
  <sheetViews>
    <sheetView workbookViewId="0">
      <selection activeCell="F17" sqref="F17"/>
    </sheetView>
  </sheetViews>
  <sheetFormatPr defaultRowHeight="15" x14ac:dyDescent="0.25"/>
  <cols>
    <col min="1" max="1" width="17.85546875" customWidth="1"/>
    <col min="2" max="2" width="24.140625" customWidth="1"/>
    <col min="3" max="3" width="12.42578125" customWidth="1"/>
    <col min="4" max="4" width="11.28515625" customWidth="1"/>
    <col min="6" max="6" width="15.42578125" customWidth="1"/>
    <col min="7" max="7" width="11.5703125" customWidth="1"/>
    <col min="8" max="8" width="13" customWidth="1"/>
    <col min="9" max="9" width="11.5703125" customWidth="1"/>
    <col min="10" max="10" width="12.140625" customWidth="1"/>
    <col min="11" max="11" width="21.28515625" customWidth="1"/>
    <col min="12" max="12" width="16.28515625" customWidth="1"/>
  </cols>
  <sheetData>
    <row r="1" spans="1:12" x14ac:dyDescent="0.25">
      <c r="A1" t="s">
        <v>55</v>
      </c>
      <c r="B1" t="s">
        <v>7</v>
      </c>
      <c r="C1" t="s">
        <v>1</v>
      </c>
      <c r="D1" t="s">
        <v>2</v>
      </c>
      <c r="E1" t="s">
        <v>56</v>
      </c>
      <c r="F1" t="s">
        <v>22</v>
      </c>
      <c r="G1" t="s">
        <v>4</v>
      </c>
      <c r="H1" t="s">
        <v>5</v>
      </c>
      <c r="I1" t="s">
        <v>6</v>
      </c>
      <c r="J1" t="s">
        <v>24</v>
      </c>
      <c r="K1" t="s">
        <v>11</v>
      </c>
      <c r="L1" t="s">
        <v>66</v>
      </c>
    </row>
    <row r="2" spans="1:12" x14ac:dyDescent="0.25">
      <c r="A2" t="s">
        <v>0</v>
      </c>
      <c r="B2" t="str">
        <f>'Macro Dashboard'!A3</f>
        <v>GDP Growth-(1st QTR 26')</v>
      </c>
      <c r="C2" s="3">
        <f>'Macro Dashboard'!B3</f>
        <v>1.6E-2</v>
      </c>
      <c r="D2" s="3">
        <f>'Macro Dashboard'!C3</f>
        <v>5.0000000000000001E-3</v>
      </c>
      <c r="E2" s="3">
        <f>'Macro Dashboard'!D3</f>
        <v>1.0999999999999999E-2</v>
      </c>
      <c r="F2" s="3"/>
      <c r="G2" t="str">
        <f>'Macro Dashboard'!E3</f>
        <v>Growing</v>
      </c>
      <c r="H2" t="str">
        <f>'Macro Dashboard'!F3</f>
        <v>Accelerating</v>
      </c>
      <c r="I2" t="str">
        <f>'Macro Dashboard'!G3</f>
        <v>4 QTR's</v>
      </c>
      <c r="K2" t="str">
        <f>'Macro Dashboard'!$A$10</f>
        <v>Expansion</v>
      </c>
      <c r="L2">
        <v>1</v>
      </c>
    </row>
    <row r="3" spans="1:12" x14ac:dyDescent="0.25">
      <c r="A3" t="s">
        <v>0</v>
      </c>
      <c r="B3" t="str">
        <f>'Macro Dashboard'!A4</f>
        <v>ISM Manufacturing (PMI)</v>
      </c>
      <c r="C3" s="7">
        <f>'Macro Dashboard'!B4</f>
        <v>0.54</v>
      </c>
      <c r="D3" s="7">
        <f>'Macro Dashboard'!C4</f>
        <v>0.52700000000000002</v>
      </c>
      <c r="E3" s="7">
        <f>'Macro Dashboard'!D4</f>
        <v>1.3000000000000012E-2</v>
      </c>
      <c r="G3" t="str">
        <f>'Macro Dashboard'!E4</f>
        <v>Growing</v>
      </c>
      <c r="H3" t="str">
        <f>'Macro Dashboard'!F4</f>
        <v>Faster</v>
      </c>
      <c r="I3" t="str">
        <f>'Macro Dashboard'!G4</f>
        <v>19 Mo</v>
      </c>
      <c r="K3" t="str">
        <f>'Macro Dashboard'!$A$10</f>
        <v>Expansion</v>
      </c>
      <c r="L3">
        <v>2</v>
      </c>
    </row>
    <row r="4" spans="1:12" x14ac:dyDescent="0.25">
      <c r="A4" t="s">
        <v>0</v>
      </c>
      <c r="B4" t="str">
        <f>'Macro Dashboard'!A5</f>
        <v>ISM Services (PMI)</v>
      </c>
      <c r="C4" s="7">
        <f>'Macro Dashboard'!B5</f>
        <v>0.54500000000000004</v>
      </c>
      <c r="D4" s="7">
        <f>'Macro Dashboard'!C5</f>
        <v>0.53600000000000003</v>
      </c>
      <c r="E4" s="7">
        <f>'Macro Dashboard'!D5</f>
        <v>9.000000000000008E-3</v>
      </c>
      <c r="G4" t="str">
        <f>'Macro Dashboard'!E5</f>
        <v>Growing</v>
      </c>
      <c r="H4" t="str">
        <f>'Macro Dashboard'!F5</f>
        <v>Faster</v>
      </c>
      <c r="I4" t="str">
        <f>'Macro Dashboard'!G5</f>
        <v>23 Mo</v>
      </c>
      <c r="K4" t="str">
        <f>'Macro Dashboard'!$A$10</f>
        <v>Expansion</v>
      </c>
      <c r="L4">
        <v>3</v>
      </c>
    </row>
    <row r="5" spans="1:12" x14ac:dyDescent="0.25">
      <c r="A5" t="s">
        <v>0</v>
      </c>
      <c r="B5" t="str">
        <f>'Macro Dashboard'!A6</f>
        <v>Industrial Production</v>
      </c>
      <c r="C5">
        <f>'Macro Dashboard'!B6</f>
        <v>102.5</v>
      </c>
      <c r="D5">
        <f>'Macro Dashboard'!C6</f>
        <v>101.8</v>
      </c>
      <c r="E5">
        <f>'Macro Dashboard'!D6</f>
        <v>0.70000000000000284</v>
      </c>
      <c r="G5" t="str">
        <f>'Macro Dashboard'!E6</f>
        <v>Growing</v>
      </c>
      <c r="H5" t="str">
        <f>'Macro Dashboard'!F6</f>
        <v>Accelerating</v>
      </c>
      <c r="I5" t="str">
        <f>'Macro Dashboard'!G6</f>
        <v>YoY 1.4%</v>
      </c>
      <c r="K5" t="str">
        <f>'Macro Dashboard'!$A$10</f>
        <v>Expansion</v>
      </c>
      <c r="L5">
        <v>4</v>
      </c>
    </row>
    <row r="6" spans="1:12" x14ac:dyDescent="0.25">
      <c r="A6" t="s">
        <v>12</v>
      </c>
      <c r="B6" t="str">
        <f>'Macro Dashboard'!I3</f>
        <v>Nonfarm Payrolls</v>
      </c>
      <c r="C6" s="15">
        <f>'Macro Dashboard'!J3</f>
        <v>115000</v>
      </c>
      <c r="D6" s="15">
        <f>'Macro Dashboard'!K3</f>
        <v>185000</v>
      </c>
      <c r="E6" s="3">
        <f>'Macro Dashboard'!L3</f>
        <v>-0.3783783783783784</v>
      </c>
      <c r="F6" s="3"/>
      <c r="K6" t="str">
        <f>'Macro Dashboard'!$I$10</f>
        <v>Healthy but Slowing</v>
      </c>
      <c r="L6">
        <v>5</v>
      </c>
    </row>
    <row r="7" spans="1:12" x14ac:dyDescent="0.25">
      <c r="A7" t="s">
        <v>12</v>
      </c>
      <c r="B7" t="str">
        <f>'Macro Dashboard'!I4</f>
        <v>Unemployment Rate</v>
      </c>
      <c r="C7" s="7">
        <f>'Macro Dashboard'!J4</f>
        <v>4.2999999999999997E-2</v>
      </c>
      <c r="D7" s="7">
        <f>'Macro Dashboard'!K4</f>
        <v>4.2999999999999997E-2</v>
      </c>
      <c r="E7" s="3">
        <f>'Macro Dashboard'!L4</f>
        <v>0</v>
      </c>
      <c r="F7" s="3"/>
      <c r="K7" t="str">
        <f>'Macro Dashboard'!$I$10</f>
        <v>Healthy but Slowing</v>
      </c>
      <c r="L7">
        <v>6</v>
      </c>
    </row>
    <row r="8" spans="1:12" x14ac:dyDescent="0.25">
      <c r="A8" t="s">
        <v>12</v>
      </c>
      <c r="B8" t="str">
        <f>'Macro Dashboard'!I5</f>
        <v>Labor Force Participation</v>
      </c>
      <c r="C8" s="7">
        <f>'Macro Dashboard'!J5</f>
        <v>0.61799999999999999</v>
      </c>
      <c r="D8" s="7">
        <f>'Macro Dashboard'!K5</f>
        <v>0.61899999999999999</v>
      </c>
      <c r="E8" s="7">
        <f>'Macro Dashboard'!L5</f>
        <v>-1.6155088852988705E-3</v>
      </c>
      <c r="F8" s="17"/>
      <c r="K8" t="str">
        <f>'Macro Dashboard'!$I$10</f>
        <v>Healthy but Slowing</v>
      </c>
      <c r="L8">
        <v>7</v>
      </c>
    </row>
    <row r="9" spans="1:12" x14ac:dyDescent="0.25">
      <c r="A9" t="s">
        <v>12</v>
      </c>
      <c r="B9" t="str">
        <f>'Macro Dashboard'!I6</f>
        <v>Wage Growth</v>
      </c>
      <c r="C9" s="16">
        <f>'Macro Dashboard'!J6</f>
        <v>37.409999999999997</v>
      </c>
      <c r="D9" s="16">
        <f>'Macro Dashboard'!K6</f>
        <v>37.35</v>
      </c>
      <c r="E9" s="16">
        <f>'Macro Dashboard'!L6</f>
        <v>5.9999999999995168E-2</v>
      </c>
      <c r="F9" s="7"/>
      <c r="K9" t="str">
        <f>'Macro Dashboard'!$I$10</f>
        <v>Healthy but Slowing</v>
      </c>
      <c r="L9">
        <v>8</v>
      </c>
    </row>
    <row r="10" spans="1:12" x14ac:dyDescent="0.25">
      <c r="A10" t="s">
        <v>17</v>
      </c>
      <c r="B10" t="str">
        <f>'Macro Dashboard'!N3</f>
        <v>CPI</v>
      </c>
      <c r="C10" s="7">
        <f>'Macro Dashboard'!O3</f>
        <v>3.7999999999999999E-2</v>
      </c>
      <c r="D10" s="7">
        <f>'Macro Dashboard'!P3</f>
        <v>3.3000000000000002E-2</v>
      </c>
      <c r="E10" s="7"/>
      <c r="F10" s="7">
        <f>'Macro Dashboard'!Q3</f>
        <v>0.02</v>
      </c>
      <c r="K10" t="str">
        <f>'Macro Dashboard'!$N$10</f>
        <v>High and Rising</v>
      </c>
      <c r="L10">
        <v>9</v>
      </c>
    </row>
    <row r="11" spans="1:12" x14ac:dyDescent="0.25">
      <c r="A11" t="s">
        <v>17</v>
      </c>
      <c r="B11" t="str">
        <f>'Macro Dashboard'!N4</f>
        <v>Core CPI</v>
      </c>
      <c r="C11" s="7">
        <f>'Macro Dashboard'!O4</f>
        <v>2.8000000000000001E-2</v>
      </c>
      <c r="D11" s="7">
        <f>'Macro Dashboard'!P4</f>
        <v>2.5999999999999999E-2</v>
      </c>
      <c r="F11" s="7">
        <f>'Macro Dashboard'!Q4</f>
        <v>0.02</v>
      </c>
      <c r="K11" t="str">
        <f>'Macro Dashboard'!$N$10</f>
        <v>High and Rising</v>
      </c>
      <c r="L11">
        <v>10</v>
      </c>
    </row>
    <row r="12" spans="1:12" x14ac:dyDescent="0.25">
      <c r="A12" t="s">
        <v>17</v>
      </c>
      <c r="B12" t="str">
        <f>'Macro Dashboard'!N5</f>
        <v>PCE</v>
      </c>
      <c r="C12" s="7">
        <f>'Macro Dashboard'!O5</f>
        <v>3.7999999999999999E-2</v>
      </c>
      <c r="D12" s="7">
        <f>'Macro Dashboard'!P5</f>
        <v>3.5000000000000003E-2</v>
      </c>
      <c r="F12" s="7">
        <f>'Macro Dashboard'!Q5</f>
        <v>0.02</v>
      </c>
      <c r="K12" t="str">
        <f>'Macro Dashboard'!$N$10</f>
        <v>High and Rising</v>
      </c>
      <c r="L12">
        <v>11</v>
      </c>
    </row>
    <row r="13" spans="1:12" x14ac:dyDescent="0.25">
      <c r="A13" t="s">
        <v>17</v>
      </c>
      <c r="B13" t="str">
        <f>'Macro Dashboard'!N6</f>
        <v>Core PCE</v>
      </c>
      <c r="C13" s="7">
        <f>'Macro Dashboard'!O6</f>
        <v>3.3000000000000002E-2</v>
      </c>
      <c r="D13" s="7">
        <f>'Macro Dashboard'!P6</f>
        <v>3.2000000000000001E-2</v>
      </c>
      <c r="F13" s="7">
        <f>'Macro Dashboard'!Q6</f>
        <v>0.02</v>
      </c>
      <c r="K13" t="str">
        <f>'Macro Dashboard'!$N$10</f>
        <v>High and Rising</v>
      </c>
      <c r="L13">
        <v>12</v>
      </c>
    </row>
    <row r="14" spans="1:12" x14ac:dyDescent="0.25">
      <c r="A14" t="s">
        <v>23</v>
      </c>
      <c r="B14" t="str">
        <f>'Macro Dashboard'!S3</f>
        <v>Fed Funds Rate</v>
      </c>
      <c r="C14" s="7">
        <f>'Macro Dashboard'!T3</f>
        <v>3.6299999999999999E-2</v>
      </c>
      <c r="J14" t="str">
        <f>'Macro Dashboard'!U3</f>
        <v>Restrictive</v>
      </c>
      <c r="K14" t="str">
        <f>'Macro Dashboard'!$S$10</f>
        <v>Restrictive and Stable</v>
      </c>
      <c r="L14">
        <v>13</v>
      </c>
    </row>
    <row r="15" spans="1:12" x14ac:dyDescent="0.25">
      <c r="A15" t="s">
        <v>23</v>
      </c>
      <c r="B15" t="str">
        <f>'Macro Dashboard'!S4</f>
        <v>2-Year Treasury</v>
      </c>
      <c r="C15" s="7">
        <f>'Macro Dashboard'!T4</f>
        <v>0.04</v>
      </c>
      <c r="J15" t="str">
        <f>'Macro Dashboard'!U4</f>
        <v>Moderate</v>
      </c>
      <c r="K15" t="str">
        <f>'Macro Dashboard'!$S$10</f>
        <v>Restrictive and Stable</v>
      </c>
      <c r="L15">
        <v>14</v>
      </c>
    </row>
    <row r="16" spans="1:12" x14ac:dyDescent="0.25">
      <c r="A16" t="s">
        <v>23</v>
      </c>
      <c r="B16" t="str">
        <f>'Macro Dashboard'!S5</f>
        <v>10-Year Treasury</v>
      </c>
      <c r="C16" s="7">
        <f>'Macro Dashboard'!T5</f>
        <v>4.48E-2</v>
      </c>
      <c r="J16" t="str">
        <f>'Macro Dashboard'!U5</f>
        <v>Elevated</v>
      </c>
      <c r="K16" t="str">
        <f>'Macro Dashboard'!$S$10</f>
        <v>Restrictive and Stable</v>
      </c>
      <c r="L16">
        <v>15</v>
      </c>
    </row>
    <row r="17" spans="1:12" x14ac:dyDescent="0.25">
      <c r="A17" t="s">
        <v>23</v>
      </c>
      <c r="B17" t="str">
        <f>'Macro Dashboard'!S6</f>
        <v>Yield Curve Spread</v>
      </c>
      <c r="C17" s="7">
        <f>'Macro Dashboard'!T6</f>
        <v>4.7999999999999987E-3</v>
      </c>
      <c r="J17" t="str">
        <f>'Macro Dashboard'!U6</f>
        <v>Normal</v>
      </c>
      <c r="K17" t="str">
        <f>'Macro Dashboard'!$S$10</f>
        <v>Restrictive and Stable</v>
      </c>
      <c r="L17">
        <v>16</v>
      </c>
    </row>
    <row r="18" spans="1:12" x14ac:dyDescent="0.25">
      <c r="A18" t="s">
        <v>38</v>
      </c>
      <c r="B18" t="str">
        <f>'Macro Dashboard'!W3</f>
        <v>High Yield Spread (Junk)</v>
      </c>
      <c r="C18" s="7">
        <f>'Macro Dashboard'!X3</f>
        <v>2.7099999999999999E-2</v>
      </c>
      <c r="J18" t="str">
        <f>'Macro Dashboard'!Y3</f>
        <v>Loose</v>
      </c>
      <c r="K18" t="str">
        <f>'Macro Dashboard'!$W$10</f>
        <v>Loose and Stable</v>
      </c>
      <c r="L18">
        <v>17</v>
      </c>
    </row>
    <row r="19" spans="1:12" x14ac:dyDescent="0.25">
      <c r="A19" t="s">
        <v>38</v>
      </c>
      <c r="B19" t="str">
        <f>'Macro Dashboard'!W4</f>
        <v>Investment Grade Spread</v>
      </c>
      <c r="C19" s="7">
        <f>'Macro Dashboard'!X4</f>
        <v>7.4000000000000003E-3</v>
      </c>
      <c r="J19" t="str">
        <f>'Macro Dashboard'!Y4</f>
        <v>Loose</v>
      </c>
      <c r="K19" t="str">
        <f>'Macro Dashboard'!$W$10</f>
        <v>Loose and Stable</v>
      </c>
      <c r="L19">
        <v>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F2655-1675-4EDB-8687-66BE6A89473A}">
  <dimension ref="A1:B2"/>
  <sheetViews>
    <sheetView workbookViewId="0">
      <selection activeCell="C9" sqref="C9"/>
    </sheetView>
  </sheetViews>
  <sheetFormatPr defaultRowHeight="15" x14ac:dyDescent="0.25"/>
  <cols>
    <col min="1" max="1" width="16.28515625" customWidth="1"/>
    <col min="2" max="2" width="15.85546875" customWidth="1"/>
  </cols>
  <sheetData>
    <row r="1" spans="1:2" x14ac:dyDescent="0.25">
      <c r="A1" t="s">
        <v>63</v>
      </c>
      <c r="B1" t="s">
        <v>64</v>
      </c>
    </row>
    <row r="2" spans="1:2" x14ac:dyDescent="0.25">
      <c r="A2" t="s">
        <v>65</v>
      </c>
      <c r="B2" t="str">
        <f>'Macro Dashboard'!$D$13</f>
        <v>Current Macro Regime: Policy-Constrained Expansion_x000D_
Risk Tone: Elevated_x000D_
_x000D_
Economic growth remains in expansion territory, indicating that overall activity is still moving forward. The labor market remains healthy, although the direction of momentum still matters for the broader outlook. Momentum is slowing. Inflation remains high, keeping price pressure at the center of the macro outlook. The direction is unfavorable, with inflation continuing to rise. This combination supports a tighter policy stance. Interest rates remain restrictive, which should continue to weigh on rate-sensitive areas of the economy. The stance is stable for now. Credit conditions are loose, suggesting capital markets remain supportive._x000D_
_x000D_
Overall, the backdrop reflects an expansion constrained by inflation and restrictive policy. The environment is not outright recessionary, but the margin for error is narrower._x000D_
_x000D_
Summary generated: 6/3/2026 10:35 PM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7450-898C-45B4-A3AA-A29B5BAE7823}">
  <sheetPr codeName="Sheet2"/>
  <dimension ref="A1:D11"/>
  <sheetViews>
    <sheetView workbookViewId="0">
      <selection activeCell="A5" sqref="A5"/>
    </sheetView>
  </sheetViews>
  <sheetFormatPr defaultRowHeight="15" x14ac:dyDescent="0.25"/>
  <cols>
    <col min="1" max="1" width="42" customWidth="1"/>
    <col min="2" max="2" width="16.85546875" customWidth="1"/>
    <col min="3" max="3" width="114.7109375" customWidth="1"/>
    <col min="4" max="4" width="27.5703125" customWidth="1"/>
  </cols>
  <sheetData>
    <row r="1" spans="1:4" ht="15.75" thickBot="1" x14ac:dyDescent="0.3">
      <c r="A1" s="10" t="s">
        <v>7</v>
      </c>
      <c r="B1" s="10" t="s">
        <v>32</v>
      </c>
      <c r="C1" s="10" t="s">
        <v>33</v>
      </c>
      <c r="D1" s="10" t="s">
        <v>53</v>
      </c>
    </row>
    <row r="2" spans="1:4" x14ac:dyDescent="0.25">
      <c r="A2" t="s">
        <v>34</v>
      </c>
      <c r="B2" t="s">
        <v>39</v>
      </c>
      <c r="C2" s="11" t="s">
        <v>44</v>
      </c>
      <c r="D2" s="14">
        <v>46176.826863425929</v>
      </c>
    </row>
    <row r="3" spans="1:4" x14ac:dyDescent="0.25">
      <c r="A3" t="s">
        <v>35</v>
      </c>
      <c r="B3" t="s">
        <v>40</v>
      </c>
      <c r="C3" s="11" t="s">
        <v>45</v>
      </c>
      <c r="D3" s="14">
        <v>46176.910914351851</v>
      </c>
    </row>
    <row r="4" spans="1:4" x14ac:dyDescent="0.25">
      <c r="A4" t="s">
        <v>36</v>
      </c>
      <c r="B4" t="s">
        <v>40</v>
      </c>
      <c r="C4" s="11" t="s">
        <v>45</v>
      </c>
      <c r="D4" s="14">
        <v>46176.916458333333</v>
      </c>
    </row>
    <row r="5" spans="1:4" x14ac:dyDescent="0.25">
      <c r="A5" t="s">
        <v>54</v>
      </c>
      <c r="B5" t="s">
        <v>41</v>
      </c>
      <c r="C5" s="11" t="s">
        <v>46</v>
      </c>
      <c r="D5" s="14">
        <v>46176.827175925922</v>
      </c>
    </row>
    <row r="6" spans="1:4" x14ac:dyDescent="0.25">
      <c r="A6" t="s">
        <v>12</v>
      </c>
      <c r="B6" t="s">
        <v>42</v>
      </c>
      <c r="C6" s="11" t="s">
        <v>47</v>
      </c>
      <c r="D6" s="14">
        <v>46176.922534722224</v>
      </c>
    </row>
    <row r="7" spans="1:4" x14ac:dyDescent="0.25">
      <c r="A7" t="s">
        <v>18</v>
      </c>
      <c r="B7" t="s">
        <v>42</v>
      </c>
      <c r="C7" s="11" t="s">
        <v>48</v>
      </c>
      <c r="D7" s="14">
        <v>46176.828553240739</v>
      </c>
    </row>
    <row r="8" spans="1:4" x14ac:dyDescent="0.25">
      <c r="A8" t="s">
        <v>20</v>
      </c>
      <c r="B8" t="s">
        <v>39</v>
      </c>
      <c r="C8" s="11" t="s">
        <v>49</v>
      </c>
      <c r="D8" s="14">
        <v>46176.933078703703</v>
      </c>
    </row>
    <row r="9" spans="1:4" x14ac:dyDescent="0.25">
      <c r="A9" t="s">
        <v>22</v>
      </c>
      <c r="B9" t="s">
        <v>41</v>
      </c>
      <c r="C9" s="11" t="s">
        <v>50</v>
      </c>
      <c r="D9" s="14">
        <v>46176.878217592595</v>
      </c>
    </row>
    <row r="10" spans="1:4" x14ac:dyDescent="0.25">
      <c r="A10" t="s">
        <v>37</v>
      </c>
      <c r="B10" t="s">
        <v>43</v>
      </c>
      <c r="C10" s="11" t="s">
        <v>51</v>
      </c>
      <c r="D10" s="14">
        <v>46176.878541666665</v>
      </c>
    </row>
    <row r="11" spans="1:4" x14ac:dyDescent="0.25">
      <c r="A11" t="s">
        <v>38</v>
      </c>
      <c r="B11" t="s">
        <v>43</v>
      </c>
      <c r="C11" s="11" t="s">
        <v>52</v>
      </c>
      <c r="D11" s="14">
        <v>46176.935798611114</v>
      </c>
    </row>
  </sheetData>
  <hyperlinks>
    <hyperlink ref="C2" r:id="rId1" xr:uid="{3FA2254D-8AE3-4D74-AF4A-F76609FAEAB4}"/>
    <hyperlink ref="C3" r:id="rId2" xr:uid="{8214C2EA-7C0B-4A3B-9990-641943C5D2A8}"/>
    <hyperlink ref="C4" r:id="rId3" xr:uid="{F69EBDB6-15AD-458A-A6AA-613C084A9C5D}"/>
    <hyperlink ref="C5" r:id="rId4" xr:uid="{C5E8FA84-D7DF-4A1D-8173-79ADDFF1175F}"/>
    <hyperlink ref="C6" r:id="rId5" xr:uid="{E83CF528-89A7-402F-8E45-3BD060FE46FF}"/>
    <hyperlink ref="C7" r:id="rId6" xr:uid="{EB598651-33BF-4DD9-ADD4-7C8AEF6F53A6}"/>
    <hyperlink ref="C8" r:id="rId7" xr:uid="{259BB289-A457-450A-A460-F28DD8FF2723}"/>
    <hyperlink ref="C9" r:id="rId8" xr:uid="{C2D5F380-BA66-4EA2-8E80-97D7C29E51E8}"/>
    <hyperlink ref="C10" r:id="rId9" xr:uid="{9204495A-232B-42BA-9E31-8961E09C9000}"/>
    <hyperlink ref="C11" r:id="rId10" xr:uid="{814E8E08-71C1-414B-9DC4-6396B374E53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Macro Dashboard</vt:lpstr>
      <vt:lpstr>PBI Table Data</vt:lpstr>
      <vt:lpstr>PBI Summary</vt:lpstr>
      <vt:lpstr>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Matthias Benitez</dc:creator>
  <cp:lastModifiedBy>Matthias Benitez</cp:lastModifiedBy>
  <dcterms:created xsi:type="dcterms:W3CDTF">2026-06-03T18:56:20Z</dcterms:created>
  <dcterms:modified xsi:type="dcterms:W3CDTF">2026-06-04T22:44:37Z</dcterms:modified>
</cp:coreProperties>
</file>